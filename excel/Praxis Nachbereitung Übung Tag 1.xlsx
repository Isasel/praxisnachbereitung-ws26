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Hub\praxisnachbereitung-ws26\excel\"/>
    </mc:Choice>
  </mc:AlternateContent>
  <xr:revisionPtr revIDLastSave="0" documentId="13_ncr:1_{F1E57D8B-2A4C-44A8-B1DE-EA2A3E7EA6B0}" xr6:coauthVersionLast="47" xr6:coauthVersionMax="47" xr10:uidLastSave="{00000000-0000-0000-0000-000000000000}"/>
  <bookViews>
    <workbookView xWindow="-110" yWindow="-110" windowWidth="19420" windowHeight="11020" xr2:uid="{9948D6D2-6F91-4A37-86CB-3AF03C3E4193}"/>
  </bookViews>
  <sheets>
    <sheet name="Tabelle5" sheetId="15" r:id="rId1"/>
    <sheet name="C.2-Gesamt" sheetId="11" r:id="rId2"/>
    <sheet name="C.1" sheetId="10" r:id="rId3"/>
    <sheet name="Mitarbeiter" sheetId="6" r:id="rId4"/>
    <sheet name="Geraete" sheetId="5" r:id="rId5"/>
    <sheet name="Ausleihen" sheetId="4" r:id="rId6"/>
  </sheets>
  <definedNames>
    <definedName name="ExternalData_1" localSheetId="5" hidden="1">Ausleihen!$A$1:$D$46</definedName>
    <definedName name="ExternalData_2" localSheetId="4" hidden="1">Geraete!$A$1:$F$36</definedName>
    <definedName name="ExternalData_2" localSheetId="3" hidden="1">Mitarbeiter!$A$1:$D$13</definedName>
    <definedName name="ExterneDaten_1" localSheetId="2" hidden="1">'C.1'!$A$1:$I$46</definedName>
    <definedName name="ExterneDaten_2" localSheetId="1" hidden="1">'C.2-Gesamt'!$A$1:$L$46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raete  2_a792270d-e5c0-44db-ac8a-ebc5e02cd8ad" name="Geraete  2" connection="Query - Geraet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0B148-B21F-40AF-8603-A708A4F95B66}" keepAlive="1" name="Abfrage - C-1" description="Verbindung mit der Abfrage 'C-1' in der Arbeitsmappe." type="5" refreshedVersion="8" background="1" saveData="1">
    <dbPr connection="Provider=Microsoft.Mashup.OleDb.1;Data Source=$Workbook$;Location=C-1;Extended Properties=&quot;&quot;" command="SELECT * FROM [C-1]"/>
  </connection>
  <connection id="2" xr16:uid="{85FBC7A0-5766-43AC-AB81-7D6FF668771E}" keepAlive="1" name="Abfrage - C-2-gesamt" description="Verbindung mit der Abfrage 'C-2-gesamt' in der Arbeitsmappe." type="5" refreshedVersion="8" background="1" saveData="1">
    <dbPr connection="Provider=Microsoft.Mashup.OleDb.1;Data Source=$Workbook$;Location=C-2-gesamt;Extended Properties=&quot;&quot;" command="SELECT * FROM [C-2-gesamt]"/>
  </connection>
  <connection id="3" xr16:uid="{CCC4845B-3CC0-404F-9C06-EBE3FFA6C079}" keepAlive="1" name="Query - Ausleihen" description="Connection to the 'Ausleihen' query in the workbook." type="5" refreshedVersion="8" background="1" saveData="1">
    <dbPr connection="Provider=Microsoft.Mashup.OleDb.1;Data Source=$Workbook$;Location=Ausleihen;Extended Properties=&quot;&quot;" command="SELECT * FROM [Ausleihen]"/>
  </connection>
  <connection id="4" xr16:uid="{B279BC85-0A03-40B0-A306-E6B9B8F41CDD}" keepAlive="1" name="Query - Geraete" description="Connection to the 'Geraete' query in the workbook." type="5" refreshedVersion="8" background="1" saveData="1">
    <dbPr connection="Provider=Microsoft.Mashup.OleDb.1;Data Source=$Workbook$;Location=Geraete;Extended Properties=&quot;&quot;" command="SELECT * FROM [Geraete]"/>
  </connection>
  <connection id="5" xr16:uid="{FC93FDCB-3D86-4AD3-92E3-9C45DCAE3C64}" name="Query - Geraete (2)" description="Connection to the 'Geraete (2)' query in the workbook." type="100" refreshedVersion="8" minRefreshableVersion="5">
    <extLst>
      <ext xmlns:x15="http://schemas.microsoft.com/office/spreadsheetml/2010/11/main" uri="{DE250136-89BD-433C-8126-D09CA5730AF9}">
        <x15:connection id="66432a35-de12-477a-8c54-6ddaa8157701"/>
      </ext>
    </extLst>
  </connection>
  <connection id="6" xr16:uid="{0F4DD527-6323-4B29-82E5-4B5E1D6C1504}" keepAlive="1" name="Query - Mitarbeiter" description="Connection to the 'Mitarbeiter' query in the workbook." type="5" refreshedVersion="8" background="1" saveData="1">
    <dbPr connection="Provider=Microsoft.Mashup.OleDb.1;Data Source=$Workbook$;Location=Mitarbeiter;Extended Properties=&quot;&quot;" command="SELECT * FROM [Mitarbeiter]"/>
  </connection>
  <connection id="7" xr16:uid="{292AF359-2184-44A7-B4F0-B0A9C9FA6F2D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<sst xmlns="http://schemas.openxmlformats.org/spreadsheetml/2006/main" count="802" uniqueCount="103">
  <si>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</si>
  <si>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</si>
  <si>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</si>
  <si>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</si>
  <si>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</si>
  <si>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</si>
  <si>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</si>
  <si>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</si>
  <si>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</si>
  <si>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</si>
  <si>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</si>
  <si>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</si>
  <si>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</si>
  <si>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</si>
  <si>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</si>
  <si>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</si>
  <si>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</si>
  <si>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</si>
  <si>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</si>
  <si>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</si>
  <si>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</si>
  <si>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</si>
  <si>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</si>
  <si>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</si>
  <si>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</si>
  <si>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</si>
  <si>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</si>
  <si>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</si>
  <si>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</si>
  <si>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</si>
  <si>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</si>
  <si>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</si>
  <si>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</si>
  <si>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</si>
  <si>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</si>
  <si>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</si>
  <si>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</si>
  <si>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</si>
  <si>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</si>
  <si>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</si>
  <si>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</si>
  <si>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</si>
  <si>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</si>
  <si>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</si>
  <si>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</si>
  <si>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</si>
  <si>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</si>
  <si>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</si>
  <si>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</si>
  <si>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</si>
  <si>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</si>
  <si>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</si>
  <si>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</si>
  <si>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</si>
  <si>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</si>
  <si>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</si>
  <si>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</si>
  <si>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</si>
  <si>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</si>
  <si>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</si>
  <si>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</si>
  <si>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</si>
  <si>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</si>
  <si>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</si>
  <si>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</si>
  <si>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</si>
  <si>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</si>
  <si>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</si>
  <si>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</si>
  <si>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</si>
  <si>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</si>
  <si>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</si>
  <si>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</si>
  <si>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</si>
  <si>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</si>
  <si>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</si>
  <si>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</si>
  <si>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</si>
  <si>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</si>
  <si>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</si>
  <si>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</si>
  <si>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</si>
  <si>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</si>
  <si>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</si>
  <si>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</si>
  <si>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</si>
  <si>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Geraete.Gerätetyp</t>
  </si>
  <si>
    <t>Geraete.Modell</t>
  </si>
  <si>
    <t>Geraete.Kaufdatum</t>
  </si>
  <si>
    <t>Geraete.Netto-Kaufpreis</t>
  </si>
  <si>
    <t>Geraete.Standort</t>
  </si>
  <si>
    <t>Mitarbeiter.Name</t>
  </si>
  <si>
    <t>Mitarbeiter.Abteilung</t>
  </si>
  <si>
    <t>Mitarbeiter.Standort</t>
  </si>
  <si>
    <t>Zeilenbeschriftungen</t>
  </si>
  <si>
    <t>Gesamtergebnis</t>
  </si>
  <si>
    <t>Spaltenbeschriftungen</t>
  </si>
  <si>
    <t>Anzahl von Gerätenummer</t>
  </si>
  <si>
    <t>Summe von Geraete.Netto-Kaufpreis</t>
  </si>
  <si>
    <t>(Mehrere Elemente)</t>
  </si>
  <si>
    <t>Anzahl von Geraete.Gerätetyp</t>
  </si>
  <si>
    <t>(Leer)</t>
  </si>
  <si>
    <t>Anzahl von Rückgabe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</si>
</sst>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3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 Nachbereitung Übung Tag 1.xlsx]Tabelle5!PivotTable9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Tabelle5!$B$41:$B$42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Tabelle5!$B$43:$B$49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6-40A8-9CCF-D120B70DAD10}"/>
            </c:ext>
          </c:extLst>
        </c:ser>
        <c:ser>
          <c:idx val="1"/>
          <c:order val="1"/>
          <c:tx>
            <c:strRef>
              <c:f>Tabelle5!$C$41:$C$42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Tabelle5!$C$43:$C$49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6-40A8-9CCF-D120B70DAD10}"/>
            </c:ext>
          </c:extLst>
        </c:ser>
        <c:ser>
          <c:idx val="2"/>
          <c:order val="2"/>
          <c:tx>
            <c:strRef>
              <c:f>Tabelle5!$D$41:$D$42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Tabelle5!$D$43:$D$49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6-40A8-9CCF-D120B70D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8962912"/>
        <c:axId val="1088961472"/>
      </c:barChart>
      <c:catAx>
        <c:axId val="10889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961472"/>
        <c:crosses val="autoZero"/>
        <c:auto val="1"/>
        <c:lblAlgn val="ctr"/>
        <c:lblOffset val="100"/>
        <c:noMultiLvlLbl val="0"/>
      </c:catAx>
      <c:valAx>
        <c:axId val="10889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9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 Nachbereitung Übung Tag 1.xlsx]Tabelle5!PivotTable3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Tabelle5!$G$17:$G$18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Tabelle5!$F$19:$F$24</c:f>
              <c:strCache>
                <c:ptCount val="5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Tabelle5!$G$19:$G$24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0-49DA-BBEE-CEDEB369F09A}"/>
            </c:ext>
          </c:extLst>
        </c:ser>
        <c:ser>
          <c:idx val="1"/>
          <c:order val="1"/>
          <c:tx>
            <c:strRef>
              <c:f>Tabelle5!$H$17:$H$18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Tabelle5!$F$19:$F$24</c:f>
              <c:strCache>
                <c:ptCount val="5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Tabelle5!$H$19:$H$24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0-49DA-BBEE-CEDEB369F09A}"/>
            </c:ext>
          </c:extLst>
        </c:ser>
        <c:ser>
          <c:idx val="2"/>
          <c:order val="2"/>
          <c:tx>
            <c:strRef>
              <c:f>Tabelle5!$I$17:$I$18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Tabelle5!$F$19:$F$24</c:f>
              <c:strCache>
                <c:ptCount val="5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Tabelle5!$I$19:$I$24</c:f>
              <c:numCache>
                <c:formatCode>General</c:formatCode>
                <c:ptCount val="5"/>
                <c:pt idx="2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0-49DA-BBEE-CEDEB369F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682847"/>
        <c:axId val="248826031"/>
      </c:barChart>
      <c:catAx>
        <c:axId val="24668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8826031"/>
        <c:crosses val="autoZero"/>
        <c:auto val="1"/>
        <c:lblAlgn val="ctr"/>
        <c:lblOffset val="100"/>
        <c:noMultiLvlLbl val="0"/>
      </c:catAx>
      <c:valAx>
        <c:axId val="24882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668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32</xdr:row>
      <xdr:rowOff>125730</xdr:rowOff>
    </xdr:from>
    <xdr:to>
      <xdr:col>16</xdr:col>
      <xdr:colOff>175260</xdr:colOff>
      <xdr:row>47</xdr:row>
      <xdr:rowOff>125730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934009-974D-5EC4-9D0A-97E1CEB40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406400</xdr:colOff>
      <xdr:row>11</xdr:row>
      <xdr:rowOff>174625</xdr:rowOff>
    </xdr:from>
    <xdr:to>
      <xdr:col>17</xdr:col>
      <xdr:colOff>133350</xdr:colOff>
      <xdr:row>26</xdr:row>
      <xdr:rowOff>155575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2AA50B0-B62E-BE2A-D8BD-1346AC909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els Reisch" refreshedDate="46102.55511238426" createdVersion="8" refreshedVersion="8" minRefreshableVersion="3" recordCount="45" xr:uid="{D267FF45-95ED-4CCD-8606-4DBC40C46057}">
  <cacheSource type="worksheet">
    <worksheetSource name="C_2_gesamt"/>
  </cacheSource>
  <cacheFields count="18">
    <cacheField name="Gerätenummer" numFmtId="0">
      <sharedItems count="23">
        <s v="G0004"/>
        <s v="G0005"/>
        <s v="G0006"/>
        <s v="G0007"/>
        <s v="G0009"/>
        <s v="G0011"/>
        <s v="G0013"/>
        <s v="G0014"/>
        <s v="G0015"/>
        <s v="G0016"/>
        <s v="G0018"/>
        <s v="G0021"/>
        <s v="G0022"/>
        <s v="G0024"/>
        <s v="G0025"/>
        <s v="G0027"/>
        <s v="G0028"/>
        <s v="G0029"/>
        <s v="G0030"/>
        <s v="G0031"/>
        <s v="G0032"/>
        <s v="G0033"/>
        <s v="G0035"/>
      </sharedItems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 count="42">
        <d v="2025-06-19T00:00:00"/>
        <d v="2025-08-11T00:00:00"/>
        <d v="2024-04-07T00:00:00"/>
        <d v="2025-08-23T00:00:00"/>
        <d v="2024-11-03T00:00:00"/>
        <d v="2025-08-30T00:00:00"/>
        <d v="2025-05-31T00:00:00"/>
        <d v="2024-07-03T00:00:00"/>
        <d v="2024-09-09T00:00:00"/>
        <d v="2025-07-12T00:00:00"/>
        <d v="2025-06-29T00:00:00"/>
        <d v="2024-05-07T00:00:00"/>
        <d v="2024-01-28T00:00:00"/>
        <d v="2024-11-26T00:00:00"/>
        <d v="2024-03-26T00:00:00"/>
        <d v="2024-08-15T00:00:00"/>
        <d v="2024-02-08T00:00:00"/>
        <d v="2025-05-22T00:00:00"/>
        <d v="2025-07-28T00:00:00"/>
        <d v="2025-05-18T00:00:00"/>
        <d v="2024-10-03T00:00:00"/>
        <d v="2025-09-30T00:00:00"/>
        <d v="2024-07-20T00:00:00"/>
        <d v="2024-03-24T00:00:00"/>
        <d v="2025-03-27T00:00:00"/>
        <d v="2025-01-18T00:00:00"/>
        <d v="2024-04-21T00:00:00"/>
        <d v="2024-08-19T00:00:00"/>
        <d v="2024-12-04T00:00:00"/>
        <d v="2024-10-30T00:00:00"/>
        <d v="2025-09-21T00:00:00"/>
        <d v="2025-05-15T00:00:00"/>
        <d v="2023-12-01T00:00:00"/>
        <d v="2024-01-29T00:00:00"/>
        <d v="2024-02-14T00:00:00"/>
        <d v="2024-08-04T00:00:00"/>
        <d v="2025-03-24T00:00:00"/>
        <d v="2025-03-25T00:00:00"/>
        <d v="2024-05-09T00:00:00"/>
        <d v="2024-01-06T00:00:00"/>
        <d v="2024-05-05T00:00:00"/>
        <d v="2024-12-15T00:00:00"/>
      </sharedItems>
      <fieldGroup par="14"/>
    </cacheField>
    <cacheField name="Rückgabe am" numFmtId="14">
      <sharedItems containsNonDate="0" containsDate="1" containsString="0" containsBlank="1" minDate="2024-06-27T00:00:00" maxDate="2025-10-06T00:00:00" count="30">
        <d v="2025-09-08T00:00:00"/>
        <d v="2025-08-12T00:00:00"/>
        <m/>
        <d v="2025-09-22T00:00:00"/>
        <d v="2025-09-25T00:00:00"/>
        <d v="2025-06-10T00:00:00"/>
        <d v="2025-07-16T00:00:00"/>
        <d v="2025-07-15T00:00:00"/>
        <d v="2025-08-29T00:00:00"/>
        <d v="2024-06-27T00:00:00"/>
        <d v="2025-02-26T00:00:00"/>
        <d v="2025-03-03T00:00:00"/>
        <d v="2025-08-17T00:00:00"/>
        <d v="2025-06-09T00:00:00"/>
        <d v="2025-05-31T00:00:00"/>
        <d v="2025-07-08T00:00:00"/>
        <d v="2025-10-02T00:00:00"/>
        <d v="2024-11-27T00:00:00"/>
        <d v="2025-10-05T00:00:00"/>
        <d v="2025-09-30T00:00:00"/>
        <d v="2025-01-06T00:00:00"/>
        <d v="2025-07-30T00:00:00"/>
        <d v="2025-07-01T00:00:00"/>
        <d v="2025-03-16T00:00:00"/>
        <d v="2024-12-04T00:00:00"/>
        <d v="2025-10-04T00:00:00"/>
        <d v="2025-09-05T00:00:00"/>
        <d v="2024-09-24T00:00:00"/>
        <d v="2025-08-02T00:00:00"/>
        <d v="2025-05-07T00:00:00"/>
      </sharedItems>
      <fieldGroup par="17"/>
    </cacheField>
    <cacheField name="Geraete.Gerätetyp" numFmtId="0">
      <sharedItems count="6">
        <s v="Laptop"/>
        <s v="Drucker"/>
        <s v="Smartphone"/>
        <s v="Tablet"/>
        <s v="Monitor"/>
        <s v="Beamer"/>
      </sharedItems>
    </cacheField>
    <cacheField name="Geraete.Modell" numFmtId="0">
      <sharedItems/>
    </cacheField>
    <cacheField name="Geraete.Kaufdatum" numFmtId="14">
      <sharedItems containsSemiMixedTypes="0" containsNonDate="0" containsDate="1" containsString="0" minDate="2021-03-03T00:00:00" maxDate="2025-09-10T00:00:00"/>
    </cacheField>
    <cacheField name="Geraete.Netto-Kaufpreis" numFmtId="0">
      <sharedItems containsSemiMixedTypes="0" containsString="0" containsNumber="1" containsInteger="1" minValue="14171" maxValue="189865"/>
    </cacheField>
    <cacheField name="Geraete.Standort" numFmtId="0">
      <sharedItems count="3">
        <s v="München"/>
        <s v="Berlin"/>
        <s v="Hamburg"/>
      </sharedItems>
    </cacheField>
    <cacheField name="Mitarbeiter.Name" numFmtId="0">
      <sharedItems/>
    </cacheField>
    <cacheField name="Mitarbeiter.Abteilung" numFmtId="0">
      <sharedItems/>
    </cacheField>
    <cacheField name="Mitarbeiter.Standort" numFmtId="0">
      <sharedItems/>
    </cacheField>
    <cacheField name="Monate (Ausgabe am)" numFmtId="0" databaseField="0">
      <fieldGroup base="2">
        <rangePr groupBy="months" startDate="2023-12-01T00:00:00" endDate="2025-10-01T00:00:00"/>
        <groupItems count="14">
          <s v="&lt;01.12.2023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1.10.2025"/>
        </groupItems>
      </fieldGroup>
    </cacheField>
    <cacheField name="Quartale (Ausgabe am)" numFmtId="0" databaseField="0">
      <fieldGroup base="2">
        <rangePr groupBy="quarters" startDate="2023-12-01T00:00:00" endDate="2025-10-01T00:00:00"/>
        <groupItems count="6">
          <s v="&lt;01.12.2023"/>
          <s v="Qrtl1"/>
          <s v="Qrtl2"/>
          <s v="Qrtl3"/>
          <s v="Qrtl4"/>
          <s v="&gt;01.10.2025"/>
        </groupItems>
      </fieldGroup>
    </cacheField>
    <cacheField name="Jahre (Ausgabe am)" numFmtId="0" databaseField="0">
      <fieldGroup base="2">
        <rangePr groupBy="years" startDate="2023-12-01T00:00:00" endDate="2025-10-01T00:00:00"/>
        <groupItems count="5">
          <s v="&lt;01.12.2023"/>
          <s v="2023"/>
          <s v="2024"/>
          <s v="2025"/>
          <s v="&gt;01.10.2025"/>
        </groupItems>
      </fieldGroup>
    </cacheField>
    <cacheField name="Monate (Rückgabe am)" numFmtId="0" databaseField="0">
      <fieldGroup base="3">
        <rangePr groupBy="months" startDate="2024-06-27T00:00:00" endDate="2025-10-06T00:00:00"/>
        <groupItems count="14">
          <s v="&lt;27.06.2024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6.10.2025"/>
        </groupItems>
      </fieldGroup>
    </cacheField>
    <cacheField name="Quartale (Rückgabe am)" numFmtId="0" databaseField="0">
      <fieldGroup base="3">
        <rangePr groupBy="quarters" startDate="2024-06-27T00:00:00" endDate="2025-10-06T00:00:00"/>
        <groupItems count="6">
          <s v="&lt;27.06.2024"/>
          <s v="Qrtl1"/>
          <s v="Qrtl2"/>
          <s v="Qrtl3"/>
          <s v="Qrtl4"/>
          <s v="&gt;06.10.2025"/>
        </groupItems>
      </fieldGroup>
    </cacheField>
    <cacheField name="Jahre (Rückgabe am)" numFmtId="0" databaseField="0">
      <fieldGroup base="3">
        <rangePr groupBy="years" startDate="2024-06-27T00:00:00" endDate="2025-10-06T00:00:00"/>
        <groupItems count="4">
          <s v="&lt;27.06.2024"/>
          <s v="2024"/>
          <s v="2025"/>
          <s v="&gt;06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1003"/>
    <x v="0"/>
    <x v="0"/>
    <x v="0"/>
    <s v="Dell XPS"/>
    <d v="2025-05-05T00:00:00"/>
    <n v="100788"/>
    <x v="0"/>
    <s v="Paul Dobes-Stiffel"/>
    <s v="Produktion"/>
    <s v="Hamburg"/>
  </r>
  <r>
    <x v="0"/>
    <n v="1001"/>
    <x v="1"/>
    <x v="1"/>
    <x v="0"/>
    <s v="Dell XPS"/>
    <d v="2025-05-05T00:00:00"/>
    <n v="100788"/>
    <x v="0"/>
    <s v="Aleksandr Weinhage"/>
    <s v="IT"/>
    <s v="Berlin"/>
  </r>
  <r>
    <x v="1"/>
    <n v="1009"/>
    <x v="2"/>
    <x v="2"/>
    <x v="1"/>
    <s v="Canon Pixma"/>
    <d v="2021-11-03T00:00:00"/>
    <n v="82323"/>
    <x v="1"/>
    <s v="Univ.Prof. Heimo Karge"/>
    <s v="Marketing"/>
    <s v="Hamburg"/>
  </r>
  <r>
    <x v="1"/>
    <n v="1006"/>
    <x v="3"/>
    <x v="3"/>
    <x v="1"/>
    <s v="Canon Pixma"/>
    <d v="2021-11-03T00:00:00"/>
    <n v="82323"/>
    <x v="1"/>
    <s v="Eric Patberg B.Sc."/>
    <s v="Vertrieb"/>
    <s v="Hamburg"/>
  </r>
  <r>
    <x v="1"/>
    <n v="1012"/>
    <x v="4"/>
    <x v="2"/>
    <x v="1"/>
    <s v="Canon Pixma"/>
    <d v="2021-11-03T00:00:00"/>
    <n v="82323"/>
    <x v="1"/>
    <s v="Ariane Klemt-Kaul"/>
    <s v="IT"/>
    <s v="München"/>
  </r>
  <r>
    <x v="1"/>
    <n v="1010"/>
    <x v="5"/>
    <x v="4"/>
    <x v="1"/>
    <s v="Canon Pixma"/>
    <d v="2021-11-03T00:00:00"/>
    <n v="82323"/>
    <x v="1"/>
    <s v="Carolin Hande"/>
    <s v="IT"/>
    <s v="Hamburg"/>
  </r>
  <r>
    <x v="2"/>
    <n v="1012"/>
    <x v="6"/>
    <x v="5"/>
    <x v="2"/>
    <s v="Samsung S21"/>
    <d v="2024-01-01T00:00:00"/>
    <n v="125796"/>
    <x v="0"/>
    <s v="Ariane Klemt-Kaul"/>
    <s v="IT"/>
    <s v="München"/>
  </r>
  <r>
    <x v="2"/>
    <n v="1007"/>
    <x v="7"/>
    <x v="2"/>
    <x v="2"/>
    <s v="Samsung S21"/>
    <d v="2024-01-01T00:00:00"/>
    <n v="125796"/>
    <x v="0"/>
    <s v="Orhan Siering MBA."/>
    <s v="IT"/>
    <s v="Berlin"/>
  </r>
  <r>
    <x v="3"/>
    <n v="1001"/>
    <x v="8"/>
    <x v="6"/>
    <x v="0"/>
    <s v="Lenovo ThinkPad"/>
    <d v="2021-06-13T00:00:00"/>
    <n v="86909"/>
    <x v="2"/>
    <s v="Aleksandr Weinhage"/>
    <s v="IT"/>
    <s v="Berlin"/>
  </r>
  <r>
    <x v="3"/>
    <n v="1001"/>
    <x v="1"/>
    <x v="2"/>
    <x v="0"/>
    <s v="Lenovo ThinkPad"/>
    <d v="2021-06-13T00:00:00"/>
    <n v="86909"/>
    <x v="2"/>
    <s v="Aleksandr Weinhage"/>
    <s v="IT"/>
    <s v="Berlin"/>
  </r>
  <r>
    <x v="4"/>
    <n v="1011"/>
    <x v="9"/>
    <x v="7"/>
    <x v="0"/>
    <s v="Dell XPS"/>
    <d v="2023-04-10T00:00:00"/>
    <n v="145802"/>
    <x v="0"/>
    <s v="Auguste Davids"/>
    <s v="IT"/>
    <s v="Hamburg"/>
  </r>
  <r>
    <x v="5"/>
    <n v="1005"/>
    <x v="10"/>
    <x v="8"/>
    <x v="1"/>
    <s v="Brother HL"/>
    <d v="2025-09-09T00:00:00"/>
    <n v="14171"/>
    <x v="0"/>
    <s v="Alexandre Davids"/>
    <s v="Vertrieb"/>
    <s v="Berlin"/>
  </r>
  <r>
    <x v="6"/>
    <n v="1012"/>
    <x v="11"/>
    <x v="9"/>
    <x v="1"/>
    <s v="Canon Pixma"/>
    <d v="2021-05-16T00:00:00"/>
    <n v="189865"/>
    <x v="2"/>
    <s v="Ariane Klemt-Kaul"/>
    <s v="IT"/>
    <s v="München"/>
  </r>
  <r>
    <x v="6"/>
    <n v="1009"/>
    <x v="12"/>
    <x v="10"/>
    <x v="1"/>
    <s v="Canon Pixma"/>
    <d v="2021-05-16T00:00:00"/>
    <n v="189865"/>
    <x v="2"/>
    <s v="Univ.Prof. Heimo Karge"/>
    <s v="Marketing"/>
    <s v="Hamburg"/>
  </r>
  <r>
    <x v="7"/>
    <n v="1001"/>
    <x v="13"/>
    <x v="11"/>
    <x v="0"/>
    <s v="Lenovo ThinkPad"/>
    <d v="2021-03-03T00:00:00"/>
    <n v="141597"/>
    <x v="2"/>
    <s v="Aleksandr Weinhage"/>
    <s v="IT"/>
    <s v="Berlin"/>
  </r>
  <r>
    <x v="8"/>
    <n v="1010"/>
    <x v="14"/>
    <x v="12"/>
    <x v="2"/>
    <s v="iPhone 13"/>
    <d v="2022-09-20T00:00:00"/>
    <n v="66144"/>
    <x v="0"/>
    <s v="Carolin Hande"/>
    <s v="IT"/>
    <s v="Hamburg"/>
  </r>
  <r>
    <x v="8"/>
    <n v="1002"/>
    <x v="15"/>
    <x v="2"/>
    <x v="2"/>
    <s v="iPhone 13"/>
    <d v="2022-09-20T00:00:00"/>
    <n v="66144"/>
    <x v="0"/>
    <s v="Eleni Hauffer"/>
    <s v="IT"/>
    <s v="Berlin"/>
  </r>
  <r>
    <x v="9"/>
    <n v="1003"/>
    <x v="16"/>
    <x v="13"/>
    <x v="1"/>
    <s v="Canon Pixma"/>
    <d v="2023-03-30T00:00:00"/>
    <n v="150106"/>
    <x v="1"/>
    <s v="Paul Dobes-Stiffel"/>
    <s v="Produktion"/>
    <s v="Hamburg"/>
  </r>
  <r>
    <x v="9"/>
    <n v="1002"/>
    <x v="17"/>
    <x v="14"/>
    <x v="1"/>
    <s v="Canon Pixma"/>
    <d v="2023-03-30T00:00:00"/>
    <n v="150106"/>
    <x v="1"/>
    <s v="Eleni Hauffer"/>
    <s v="IT"/>
    <s v="Berlin"/>
  </r>
  <r>
    <x v="9"/>
    <n v="1010"/>
    <x v="18"/>
    <x v="2"/>
    <x v="1"/>
    <s v="Canon Pixma"/>
    <d v="2023-03-30T00:00:00"/>
    <n v="150106"/>
    <x v="1"/>
    <s v="Carolin Hande"/>
    <s v="IT"/>
    <s v="Hamburg"/>
  </r>
  <r>
    <x v="9"/>
    <n v="1007"/>
    <x v="19"/>
    <x v="15"/>
    <x v="1"/>
    <s v="Canon Pixma"/>
    <d v="2023-03-30T00:00:00"/>
    <n v="150106"/>
    <x v="1"/>
    <s v="Orhan Siering MBA."/>
    <s v="IT"/>
    <s v="Berlin"/>
  </r>
  <r>
    <x v="9"/>
    <n v="1010"/>
    <x v="6"/>
    <x v="16"/>
    <x v="1"/>
    <s v="Canon Pixma"/>
    <d v="2023-03-30T00:00:00"/>
    <n v="150106"/>
    <x v="1"/>
    <s v="Carolin Hande"/>
    <s v="IT"/>
    <s v="Hamburg"/>
  </r>
  <r>
    <x v="10"/>
    <n v="1011"/>
    <x v="20"/>
    <x v="17"/>
    <x v="3"/>
    <s v="iPad"/>
    <d v="2022-10-05T00:00:00"/>
    <n v="168807"/>
    <x v="0"/>
    <s v="Auguste Davids"/>
    <s v="IT"/>
    <s v="Hamburg"/>
  </r>
  <r>
    <x v="11"/>
    <n v="1008"/>
    <x v="21"/>
    <x v="18"/>
    <x v="4"/>
    <s v="Samsung Curved"/>
    <d v="2023-02-22T00:00:00"/>
    <n v="113416"/>
    <x v="0"/>
    <s v="Dipl.-Ing. Klaus-Werner Holsten B.Sc."/>
    <s v="IT"/>
    <s v="Hamburg"/>
  </r>
  <r>
    <x v="12"/>
    <n v="1002"/>
    <x v="5"/>
    <x v="19"/>
    <x v="3"/>
    <s v="iPad"/>
    <d v="2024-08-20T00:00:00"/>
    <n v="159198"/>
    <x v="2"/>
    <s v="Eleni Hauffer"/>
    <s v="IT"/>
    <s v="Berlin"/>
  </r>
  <r>
    <x v="12"/>
    <n v="1002"/>
    <x v="22"/>
    <x v="20"/>
    <x v="3"/>
    <s v="iPad"/>
    <d v="2024-08-20T00:00:00"/>
    <n v="159198"/>
    <x v="2"/>
    <s v="Eleni Hauffer"/>
    <s v="IT"/>
    <s v="Berlin"/>
  </r>
  <r>
    <x v="13"/>
    <n v="1008"/>
    <x v="23"/>
    <x v="2"/>
    <x v="4"/>
    <s v="Dell UltraSharp"/>
    <d v="2022-03-01T00:00:00"/>
    <n v="75091"/>
    <x v="1"/>
    <s v="Dipl.-Ing. Klaus-Werner Holsten B.Sc."/>
    <s v="IT"/>
    <s v="Hamburg"/>
  </r>
  <r>
    <x v="13"/>
    <n v="1005"/>
    <x v="24"/>
    <x v="21"/>
    <x v="4"/>
    <s v="Dell UltraSharp"/>
    <d v="2022-03-01T00:00:00"/>
    <n v="75091"/>
    <x v="1"/>
    <s v="Alexandre Davids"/>
    <s v="Vertrieb"/>
    <s v="Berlin"/>
  </r>
  <r>
    <x v="14"/>
    <n v="1005"/>
    <x v="25"/>
    <x v="2"/>
    <x v="5"/>
    <s v="Epson EB"/>
    <d v="2023-12-06T00:00:00"/>
    <n v="54546"/>
    <x v="1"/>
    <s v="Alexandre Davids"/>
    <s v="Vertrieb"/>
    <s v="Berlin"/>
  </r>
  <r>
    <x v="15"/>
    <n v="1004"/>
    <x v="26"/>
    <x v="22"/>
    <x v="4"/>
    <s v="Samsung Curved"/>
    <d v="2022-07-24T00:00:00"/>
    <n v="50164"/>
    <x v="0"/>
    <s v="Klemens Löffler"/>
    <s v="Vertrieb"/>
    <s v="Hamburg"/>
  </r>
  <r>
    <x v="16"/>
    <n v="1004"/>
    <x v="27"/>
    <x v="2"/>
    <x v="5"/>
    <s v="Epson EB"/>
    <d v="2023-01-19T00:00:00"/>
    <n v="124658"/>
    <x v="2"/>
    <s v="Klemens Löffler"/>
    <s v="Vertrieb"/>
    <s v="Hamburg"/>
  </r>
  <r>
    <x v="16"/>
    <n v="1006"/>
    <x v="28"/>
    <x v="23"/>
    <x v="5"/>
    <s v="Epson EB"/>
    <d v="2023-01-19T00:00:00"/>
    <n v="124658"/>
    <x v="2"/>
    <s v="Eric Patberg B.Sc."/>
    <s v="Vertrieb"/>
    <s v="Hamburg"/>
  </r>
  <r>
    <x v="16"/>
    <n v="1003"/>
    <x v="29"/>
    <x v="24"/>
    <x v="5"/>
    <s v="Epson EB"/>
    <d v="2023-01-19T00:00:00"/>
    <n v="124658"/>
    <x v="2"/>
    <s v="Paul Dobes-Stiffel"/>
    <s v="Produktion"/>
    <s v="Hamburg"/>
  </r>
  <r>
    <x v="17"/>
    <n v="1002"/>
    <x v="30"/>
    <x v="25"/>
    <x v="0"/>
    <s v="Lenovo ThinkPad"/>
    <d v="2021-05-21T00:00:00"/>
    <n v="155315"/>
    <x v="2"/>
    <s v="Eleni Hauffer"/>
    <s v="IT"/>
    <s v="Berlin"/>
  </r>
  <r>
    <x v="18"/>
    <n v="1012"/>
    <x v="31"/>
    <x v="26"/>
    <x v="5"/>
    <s v="Epson EB"/>
    <d v="2022-03-27T00:00:00"/>
    <n v="162976"/>
    <x v="0"/>
    <s v="Ariane Klemt-Kaul"/>
    <s v="IT"/>
    <s v="München"/>
  </r>
  <r>
    <x v="18"/>
    <n v="1005"/>
    <x v="32"/>
    <x v="27"/>
    <x v="5"/>
    <s v="Epson EB"/>
    <d v="2022-03-27T00:00:00"/>
    <n v="162976"/>
    <x v="0"/>
    <s v="Alexandre Davids"/>
    <s v="Vertrieb"/>
    <s v="Berlin"/>
  </r>
  <r>
    <x v="19"/>
    <n v="1004"/>
    <x v="33"/>
    <x v="2"/>
    <x v="0"/>
    <s v="HP EliteBook"/>
    <d v="2025-04-28T00:00:00"/>
    <n v="109562"/>
    <x v="0"/>
    <s v="Klemens Löffler"/>
    <s v="Vertrieb"/>
    <s v="Hamburg"/>
  </r>
  <r>
    <x v="19"/>
    <n v="1004"/>
    <x v="34"/>
    <x v="2"/>
    <x v="0"/>
    <s v="HP EliteBook"/>
    <d v="2025-04-28T00:00:00"/>
    <n v="109562"/>
    <x v="0"/>
    <s v="Klemens Löffler"/>
    <s v="Vertrieb"/>
    <s v="Hamburg"/>
  </r>
  <r>
    <x v="20"/>
    <n v="1003"/>
    <x v="35"/>
    <x v="28"/>
    <x v="0"/>
    <s v="Lenovo ThinkPad"/>
    <d v="2022-11-11T00:00:00"/>
    <n v="180136"/>
    <x v="0"/>
    <s v="Paul Dobes-Stiffel"/>
    <s v="Produktion"/>
    <s v="Hamburg"/>
  </r>
  <r>
    <x v="21"/>
    <n v="1009"/>
    <x v="36"/>
    <x v="29"/>
    <x v="5"/>
    <s v="BenQ MW550"/>
    <d v="2022-03-03T00:00:00"/>
    <n v="121229"/>
    <x v="1"/>
    <s v="Univ.Prof. Heimo Karge"/>
    <s v="Marketing"/>
    <s v="Hamburg"/>
  </r>
  <r>
    <x v="21"/>
    <n v="1002"/>
    <x v="37"/>
    <x v="2"/>
    <x v="5"/>
    <s v="BenQ MW550"/>
    <d v="2022-03-03T00:00:00"/>
    <n v="121229"/>
    <x v="1"/>
    <s v="Eleni Hauffer"/>
    <s v="IT"/>
    <s v="Berlin"/>
  </r>
  <r>
    <x v="22"/>
    <n v="1009"/>
    <x v="38"/>
    <x v="2"/>
    <x v="5"/>
    <s v="BenQ MW550"/>
    <d v="2024-01-03T00:00:00"/>
    <n v="64454"/>
    <x v="1"/>
    <s v="Univ.Prof. Heimo Karge"/>
    <s v="Marketing"/>
    <s v="Hamburg"/>
  </r>
  <r>
    <x v="22"/>
    <n v="1001"/>
    <x v="39"/>
    <x v="2"/>
    <x v="5"/>
    <s v="BenQ MW550"/>
    <d v="2024-01-03T00:00:00"/>
    <n v="64454"/>
    <x v="1"/>
    <s v="Aleksandr Weinhage"/>
    <s v="IT"/>
    <s v="Berlin"/>
  </r>
  <r>
    <x v="22"/>
    <n v="1003"/>
    <x v="40"/>
    <x v="2"/>
    <x v="5"/>
    <s v="BenQ MW550"/>
    <d v="2024-01-03T00:00:00"/>
    <n v="64454"/>
    <x v="1"/>
    <s v="Paul Dobes-Stiffel"/>
    <s v="Produktion"/>
    <s v="Hamburg"/>
  </r>
  <r>
    <x v="22"/>
    <n v="1001"/>
    <x v="41"/>
    <x v="2"/>
    <x v="5"/>
    <s v="BenQ MW550"/>
    <d v="2024-01-03T00:00:00"/>
    <n v="64454"/>
    <x v="1"/>
    <s v="Aleksandr Weinhage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E8C94-C5D7-4F12-B56A-507D591B03D4}" name="PivotTable3" cacheId="3" applyNumberFormats="0" applyBorderFormats="0" applyFontFormats="0" applyPatternFormats="0" applyAlignmentFormats="0" applyWidthHeightFormats="1" dataCaption="Werte" updatedVersion="8" minRefreshableVersion="3" itemPrintTitles="1" createdVersion="8" indent="0" outline="1" outlineData="1" multipleFieldFilters="0" chartFormat="1">
  <location ref="F17:J24" firstHeaderRow="1" firstDataRow="2" firstDataCol="1" rowPageCount="1" colPageCount="1"/>
  <pivotFields count="18">
    <pivotField showAll="0"/>
    <pivotField showAll="0"/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axis="axisPage" multipleItemSelectionAllowed="1" showAll="0">
      <items count="31">
        <item h="1" x="9"/>
        <item h="1" x="27"/>
        <item h="1" x="17"/>
        <item h="1" x="24"/>
        <item h="1" x="20"/>
        <item h="1" x="10"/>
        <item h="1" x="11"/>
        <item h="1" x="23"/>
        <item h="1" x="29"/>
        <item h="1" x="14"/>
        <item h="1" x="13"/>
        <item h="1" x="5"/>
        <item h="1" x="22"/>
        <item h="1" x="15"/>
        <item h="1" x="7"/>
        <item h="1" x="6"/>
        <item h="1" x="21"/>
        <item h="1" x="28"/>
        <item h="1" x="1"/>
        <item h="1" x="12"/>
        <item h="1" x="8"/>
        <item h="1" x="26"/>
        <item h="1" x="0"/>
        <item h="1" x="3"/>
        <item h="1" x="4"/>
        <item h="1" x="19"/>
        <item h="1" x="16"/>
        <item h="1" x="25"/>
        <item h="1" x="18"/>
        <item x="2"/>
        <item t="default"/>
      </items>
    </pivotField>
    <pivotField axis="axisRow" dataField="1" showAll="0">
      <items count="7">
        <item x="5"/>
        <item x="1"/>
        <item x="0"/>
        <item x="4"/>
        <item x="2"/>
        <item x="3"/>
        <item t="default"/>
      </items>
    </pivotField>
    <pivotField showAll="0"/>
    <pivotField numFmtId="1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Anzahl von Geraete.Gerätetyp" fld="4" subtotal="count" baseField="0" baseItem="0"/>
  </dataFields>
  <chartFormats count="3">
    <chartFormat chart="0" format="3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08C7F-0488-4726-8E9C-1A25DF9979DA}" name="PivotTable2" cacheId="3" applyNumberFormats="0" applyBorderFormats="0" applyFontFormats="0" applyPatternFormats="0" applyAlignmentFormats="0" applyWidthHeightFormats="1" dataCaption="Werte" updatedVersion="8" minRefreshableVersion="3" itemPrintTitles="1" createdVersion="8" indent="0" outline="1" outlineData="1" multipleFieldFilters="0">
  <location ref="A17:B24" firstHeaderRow="1" firstDataRow="1" firstDataCol="1" rowPageCount="1" colPageCount="1"/>
  <pivotFields count="18">
    <pivotField showAll="0"/>
    <pivotField showAll="0"/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axis="axisPage" dataField="1" multipleItemSelectionAllowed="1" showAll="0">
      <items count="31">
        <item x="9"/>
        <item x="27"/>
        <item x="17"/>
        <item x="24"/>
        <item x="20"/>
        <item x="10"/>
        <item x="11"/>
        <item x="23"/>
        <item x="29"/>
        <item x="14"/>
        <item x="13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h="1" x="2"/>
        <item t="default"/>
      </items>
    </pivotField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numFmtId="14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Anzahl von Rückgabe a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D6EA9-83F7-4B31-9434-1CC8B5950DBB}" name="PivotTable1" cacheId="3" applyNumberFormats="0" applyBorderFormats="0" applyFontFormats="0" applyPatternFormats="0" applyAlignmentFormats="0" applyWidthHeightFormats="1" dataCaption="Werte" updatedVersion="8" minRefreshableVersion="3" itemPrintTitles="1" createdVersion="8" indent="0" outline="1" outlineData="1" multipleFieldFilters="0">
  <location ref="B4:C11" firstHeaderRow="1" firstDataRow="1" firstDataCol="1" rowPageCount="1" colPageCount="1"/>
  <pivotFields count="18">
    <pivotField showAll="0"/>
    <pivotField showAll="0"/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axis="axisPage" multipleItemSelectionAllowed="1" showAll="0">
      <items count="31">
        <item x="9"/>
        <item x="27"/>
        <item x="17"/>
        <item x="24"/>
        <item x="20"/>
        <item x="10"/>
        <item x="11"/>
        <item x="23"/>
        <item x="29"/>
        <item x="14"/>
        <item x="13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h="1" x="2"/>
        <item t="default"/>
      </items>
    </pivotField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me von Geraete.Netto-Kaufprei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7B20C-8EC9-4D95-B7E4-C50FE5ECD6C1}" name="PivotTable9" cacheId="3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41:E49" firstHeaderRow="1" firstDataRow="2" firstDataCol="1"/>
  <pivotFields count="18">
    <pivotField dataField="1" showAll="0"/>
    <pivotField showAll="0"/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showAll="0">
      <items count="31">
        <item x="9"/>
        <item x="27"/>
        <item x="17"/>
        <item x="24"/>
        <item x="20"/>
        <item x="10"/>
        <item x="11"/>
        <item x="23"/>
        <item x="29"/>
        <item x="14"/>
        <item x="13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x="2"/>
        <item t="default"/>
      </items>
    </pivotField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numFmtId="1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6AC3E02E-75E8-4660-9822-87F14523A548}" autoFormatId="16" applyNumberFormats="0" applyBorderFormats="0" applyFontFormats="0" applyPatternFormats="0" applyAlignmentFormats="0" applyWidthHeightFormats="0">
  <queryTableRefresh nextId="14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D0180BA-B5EF-457F-8D90-9B001E3B1C47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E6DF179-E744-408F-813D-1059DE9F8DA9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FB2FEC8-A214-44C3-A52E-998CAA312C9D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6009A0-F335-43AA-84DA-6E9059F2A0BB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DF7F0D-979D-4544-9858-40AF5EB5968E}" name="C_2_gesamt" displayName="C_2_gesamt" ref="A1:L46" tableType="queryTable" totalsRowShown="0">
  <autoFilter ref="A1:L46" xr:uid="{E3DF7F0D-979D-4544-9858-40AF5EB5968E}"/>
  <sortState xmlns:xlrd2="http://schemas.microsoft.com/office/spreadsheetml/2017/richdata2" ref="A2:L46">
    <sortCondition ref="A1:A46"/>
  </sortState>
  <tableColumns count="12">
    <tableColumn id="1" xr3:uid="{8DDAEE2B-F6E7-427F-8578-A152C0AC5F82}" uniqueName="1" name="Gerätenummer" queryTableFieldId="1" dataDxfId="31"/>
    <tableColumn id="2" xr3:uid="{C7BBFA5A-C9F8-4E22-9A0B-EA410464577D}" uniqueName="2" name="Mitarbeiter-ID" queryTableFieldId="2"/>
    <tableColumn id="3" xr3:uid="{C1BFFB72-3F44-48E3-86F9-D0A1A5E9FBBA}" uniqueName="3" name="Ausgabe am" queryTableFieldId="3" dataDxfId="30"/>
    <tableColumn id="4" xr3:uid="{571F824D-26DE-4B6B-B776-7B1478BB2A2E}" uniqueName="4" name="Rückgabe am" queryTableFieldId="4" dataDxfId="29"/>
    <tableColumn id="5" xr3:uid="{46937E2C-86D9-4439-8C50-5C3A02A0C66B}" uniqueName="5" name="Geraete.Gerätetyp" queryTableFieldId="5" dataDxfId="28"/>
    <tableColumn id="6" xr3:uid="{CABF475E-775F-4857-B663-C5535F32A9F8}" uniqueName="6" name="Geraete.Modell" queryTableFieldId="6" dataDxfId="27"/>
    <tableColumn id="7" xr3:uid="{4517DFE8-CED2-4C88-90FF-1A3D474EFA23}" uniqueName="7" name="Geraete.Kaufdatum" queryTableFieldId="7" dataDxfId="26"/>
    <tableColumn id="8" xr3:uid="{1B108F70-DF8C-4293-BD94-52C915BEF21B}" uniqueName="8" name="Geraete.Netto-Kaufpreis" queryTableFieldId="8"/>
    <tableColumn id="9" xr3:uid="{0657CC74-7D55-4ABE-AE0B-67223231316C}" uniqueName="9" name="Geraete.Standort" queryTableFieldId="9" dataDxfId="25"/>
    <tableColumn id="10" xr3:uid="{F9185E73-E25B-4DF2-B202-3ED114A966E0}" uniqueName="10" name="Mitarbeiter.Name" queryTableFieldId="10" dataDxfId="24"/>
    <tableColumn id="11" xr3:uid="{4984F1CA-D53A-4330-B59D-6DA0A755B038}" uniqueName="11" name="Mitarbeiter.Abteilung" queryTableFieldId="11" dataDxfId="23"/>
    <tableColumn id="12" xr3:uid="{B9686977-EB4D-43F0-9CF8-07DB8BDAEEC9}" uniqueName="12" name="Mitarbeiter.Standort" queryTableFieldId="12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46F02F-296E-4D2A-AB0A-2F9A5DB70394}" name="C.1" displayName="C.1" ref="A1:I46" tableType="queryTable" totalsRowShown="0">
  <autoFilter ref="A1:I46" xr:uid="{5D46F02F-296E-4D2A-AB0A-2F9A5DB70394}"/>
  <tableColumns count="9">
    <tableColumn id="1" xr3:uid="{C3220440-D6A2-4D76-8288-28D8B4CB2D70}" uniqueName="1" name="Gerätenummer" queryTableFieldId="1" dataDxfId="21"/>
    <tableColumn id="2" xr3:uid="{FDB8E97B-F10C-4BC4-888F-E130464B8E7F}" uniqueName="2" name="Mitarbeiter-ID" queryTableFieldId="2"/>
    <tableColumn id="3" xr3:uid="{56033F1D-D037-41F3-8613-0B034D578D8C}" uniqueName="3" name="Ausgabe am" queryTableFieldId="3" dataDxfId="20"/>
    <tableColumn id="4" xr3:uid="{E14DF094-74F3-4334-98C1-62A8F2D8334A}" uniqueName="4" name="Rückgabe am" queryTableFieldId="4" dataDxfId="19"/>
    <tableColumn id="5" xr3:uid="{6F5C9F30-CA04-4072-B705-A56760BA89A9}" uniqueName="5" name="Geraete.Gerätetyp" queryTableFieldId="5" dataDxfId="18"/>
    <tableColumn id="6" xr3:uid="{A907B980-67B4-491A-B886-A91371BF0625}" uniqueName="6" name="Geraete.Modell" queryTableFieldId="6" dataDxfId="17"/>
    <tableColumn id="7" xr3:uid="{BDB9A50B-3064-4885-BE8C-2041B7D70D2F}" uniqueName="7" name="Geraete.Kaufdatum" queryTableFieldId="7" dataDxfId="16"/>
    <tableColumn id="8" xr3:uid="{F593787B-F819-4231-8E93-82863B2166DF}" uniqueName="8" name="Geraete.Netto-Kaufpreis" queryTableFieldId="8"/>
    <tableColumn id="9" xr3:uid="{79CDB348-E0D8-4ADF-A66A-2A22009A4AE7}" uniqueName="9" name="Geraete.Standort" queryTableFieldId="9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DA05F-8A53-4132-902F-8B72807E4478}" name="Mitarbeiter" displayName="Mitarbeiter" ref="A1:D13" tableType="queryTable" totalsRowShown="0">
  <autoFilter ref="A1:D13" xr:uid="{30EDA05F-8A53-4132-902F-8B72807E4478}"/>
  <tableColumns count="4">
    <tableColumn id="1" xr3:uid="{4C425C60-4BF6-41B9-BD47-F62579487411}" uniqueName="1" name="Mitarbeiter-ID" queryTableFieldId="1"/>
    <tableColumn id="2" xr3:uid="{10DD5A9F-DBA1-4A58-B039-AFF5A787C884}" uniqueName="2" name="Name" queryTableFieldId="2" dataDxfId="14"/>
    <tableColumn id="3" xr3:uid="{DD4D8FF3-B204-4D7E-B0A9-F5BCC61EC30B}" uniqueName="3" name="Abteilung" queryTableFieldId="3" dataDxfId="13"/>
    <tableColumn id="4" xr3:uid="{06A812DB-639E-49C0-8989-C422A742A529}" uniqueName="4" name="Standort" queryTableFieldId="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795B0-BA83-4AA4-B191-9B900DC63163}" name="Geraete" displayName="Geraete" ref="A1:F36" tableType="queryTable" totalsRowShown="0">
  <autoFilter ref="A1:F36" xr:uid="{654795B0-BA83-4AA4-B191-9B900DC63163}"/>
  <tableColumns count="6">
    <tableColumn id="1" xr3:uid="{2CBF0143-5735-461E-9E15-677702AE6BD6}" uniqueName="1" name="Gerätenummer" queryTableFieldId="1" dataDxfId="11"/>
    <tableColumn id="2" xr3:uid="{B46A67A9-26A8-4E7E-BB3E-FE256AE99778}" uniqueName="2" name="Gerätetyp" queryTableFieldId="2" dataDxfId="10"/>
    <tableColumn id="3" xr3:uid="{5743415E-7D77-49EE-ABCE-C463FC5861D4}" uniqueName="3" name="Modell" queryTableFieldId="3" dataDxfId="9"/>
    <tableColumn id="4" xr3:uid="{311EFC35-12C5-47FA-8EFF-F3AFBBDA8992}" uniqueName="4" name="Kaufdatum" queryTableFieldId="4" dataDxfId="8"/>
    <tableColumn id="5" xr3:uid="{78B53975-62E3-457B-A1BE-72CB5D4C937D}" uniqueName="5" name="Netto-Kaufpreis" queryTableFieldId="5"/>
    <tableColumn id="6" xr3:uid="{8E96AD87-0A63-4EF3-B784-CA2E99381AB1}" uniqueName="6" name="Standort" queryTableFieldId="6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20A4C-B33C-4F11-94E9-59BFFB624B2D}" name="Ausleihen" displayName="Ausleihen" ref="A1:D46" tableType="queryTable" totalsRowShown="0">
  <autoFilter ref="A1:D46" xr:uid="{7DE20A4C-B33C-4F11-94E9-59BFFB624B2D}"/>
  <tableColumns count="4">
    <tableColumn id="1" xr3:uid="{DB918610-1FC1-4743-8E5F-BED6006A431D}" uniqueName="1" name="Gerätenummer" queryTableFieldId="1" dataDxfId="6"/>
    <tableColumn id="2" xr3:uid="{CCB2E541-7417-402B-B1ED-D7FAB0102728}" uniqueName="2" name="Mitarbeiter-ID" queryTableFieldId="2"/>
    <tableColumn id="3" xr3:uid="{F1A57E96-EA59-46A6-BCCF-5D5F07791F35}" uniqueName="3" name="Ausgabe am" queryTableFieldId="3" dataDxfId="5"/>
    <tableColumn id="4" xr3:uid="{21159573-5884-4791-8B2B-96035217F840}" uniqueName="4" name="Rückgabe am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AFF6-2255-4DCE-9A4C-069037AD939E}">
  <dimension ref="A2:J49"/>
  <sheetViews>
    <sheetView tabSelected="1" topLeftCell="A7" workbookViewId="0">
      <selection activeCell="D11" sqref="D11"/>
    </sheetView>
  </sheetViews>
  <sheetFormatPr baseColWidth="10" defaultRowHeight="14.5" x14ac:dyDescent="0.35"/>
  <cols>
    <col min="1" max="1" width="20.7265625" bestFit="1" customWidth="1"/>
    <col min="2" max="2" width="8.81640625" bestFit="1" customWidth="1"/>
    <col min="3" max="3" width="34.453125" customWidth="1"/>
    <col min="4" max="30" width="9.90625" bestFit="1" customWidth="1"/>
    <col min="31" max="31" width="7.81640625" bestFit="1" customWidth="1"/>
    <col min="32" max="32" width="14.36328125" bestFit="1" customWidth="1"/>
  </cols>
  <sheetData>
    <row r="2" spans="1:7" x14ac:dyDescent="0.35">
      <c r="B2" s="2" t="s">
        <v>3</v>
      </c>
      <c r="C2" t="s">
        <v>99</v>
      </c>
    </row>
    <row r="4" spans="1:7" x14ac:dyDescent="0.35">
      <c r="B4" s="2" t="s">
        <v>94</v>
      </c>
      <c r="C4" t="s">
        <v>98</v>
      </c>
    </row>
    <row r="5" spans="1:7" x14ac:dyDescent="0.35">
      <c r="B5" s="3" t="s">
        <v>50</v>
      </c>
      <c r="C5" s="4">
        <v>696497</v>
      </c>
    </row>
    <row r="6" spans="1:7" x14ac:dyDescent="0.35">
      <c r="B6" s="3" t="s">
        <v>43</v>
      </c>
      <c r="C6" s="4">
        <v>1158971</v>
      </c>
    </row>
    <row r="7" spans="1:7" x14ac:dyDescent="0.35">
      <c r="B7" s="3" t="s">
        <v>41</v>
      </c>
      <c r="C7" s="4">
        <v>911335</v>
      </c>
    </row>
    <row r="8" spans="1:7" x14ac:dyDescent="0.35">
      <c r="B8" s="3" t="s">
        <v>60</v>
      </c>
      <c r="C8" s="4">
        <v>238671</v>
      </c>
    </row>
    <row r="9" spans="1:7" x14ac:dyDescent="0.35">
      <c r="B9" s="3" t="s">
        <v>45</v>
      </c>
      <c r="C9" s="4">
        <v>191940</v>
      </c>
    </row>
    <row r="10" spans="1:7" x14ac:dyDescent="0.35">
      <c r="B10" s="3" t="s">
        <v>33</v>
      </c>
      <c r="C10" s="4">
        <v>487203</v>
      </c>
    </row>
    <row r="11" spans="1:7" x14ac:dyDescent="0.35">
      <c r="B11" s="3" t="s">
        <v>95</v>
      </c>
      <c r="C11" s="4">
        <v>3684617</v>
      </c>
    </row>
    <row r="15" spans="1:7" x14ac:dyDescent="0.35">
      <c r="A15" s="2" t="s">
        <v>3</v>
      </c>
      <c r="B15" t="s">
        <v>99</v>
      </c>
      <c r="F15" s="2" t="s">
        <v>3</v>
      </c>
      <c r="G15" t="s">
        <v>101</v>
      </c>
    </row>
    <row r="17" spans="1:10" x14ac:dyDescent="0.35">
      <c r="A17" s="2" t="s">
        <v>94</v>
      </c>
      <c r="B17" t="s">
        <v>102</v>
      </c>
      <c r="F17" s="2" t="s">
        <v>100</v>
      </c>
      <c r="G17" s="2" t="s">
        <v>96</v>
      </c>
    </row>
    <row r="18" spans="1:10" x14ac:dyDescent="0.35">
      <c r="A18" s="3" t="s">
        <v>50</v>
      </c>
      <c r="B18" s="4">
        <v>5</v>
      </c>
      <c r="F18" s="2" t="s">
        <v>94</v>
      </c>
      <c r="G18" t="s">
        <v>35</v>
      </c>
      <c r="H18" t="s">
        <v>48</v>
      </c>
      <c r="I18" t="s">
        <v>38</v>
      </c>
      <c r="J18" t="s">
        <v>95</v>
      </c>
    </row>
    <row r="19" spans="1:10" x14ac:dyDescent="0.35">
      <c r="A19" s="3" t="s">
        <v>43</v>
      </c>
      <c r="B19" s="4">
        <v>9</v>
      </c>
      <c r="F19" s="3" t="s">
        <v>50</v>
      </c>
      <c r="G19" s="4">
        <v>6</v>
      </c>
      <c r="H19" s="4">
        <v>1</v>
      </c>
      <c r="I19" s="4"/>
      <c r="J19" s="4">
        <v>7</v>
      </c>
    </row>
    <row r="20" spans="1:10" x14ac:dyDescent="0.35">
      <c r="A20" s="3" t="s">
        <v>41</v>
      </c>
      <c r="B20" s="4">
        <v>7</v>
      </c>
      <c r="F20" s="3" t="s">
        <v>43</v>
      </c>
      <c r="G20" s="4">
        <v>3</v>
      </c>
      <c r="H20" s="4"/>
      <c r="I20" s="4"/>
      <c r="J20" s="4">
        <v>3</v>
      </c>
    </row>
    <row r="21" spans="1:10" x14ac:dyDescent="0.35">
      <c r="A21" s="3" t="s">
        <v>60</v>
      </c>
      <c r="B21" s="4">
        <v>3</v>
      </c>
      <c r="F21" s="3" t="s">
        <v>41</v>
      </c>
      <c r="G21" s="4"/>
      <c r="H21" s="4">
        <v>1</v>
      </c>
      <c r="I21" s="4">
        <v>2</v>
      </c>
      <c r="J21" s="4">
        <v>3</v>
      </c>
    </row>
    <row r="22" spans="1:10" x14ac:dyDescent="0.35">
      <c r="A22" s="3" t="s">
        <v>45</v>
      </c>
      <c r="B22" s="4">
        <v>2</v>
      </c>
      <c r="F22" s="3" t="s">
        <v>60</v>
      </c>
      <c r="G22" s="4">
        <v>1</v>
      </c>
      <c r="H22" s="4"/>
      <c r="I22" s="4"/>
      <c r="J22" s="4">
        <v>1</v>
      </c>
    </row>
    <row r="23" spans="1:10" x14ac:dyDescent="0.35">
      <c r="A23" s="3" t="s">
        <v>33</v>
      </c>
      <c r="B23" s="4">
        <v>3</v>
      </c>
      <c r="F23" s="3" t="s">
        <v>45</v>
      </c>
      <c r="G23" s="4"/>
      <c r="H23" s="4"/>
      <c r="I23" s="4">
        <v>2</v>
      </c>
      <c r="J23" s="4">
        <v>2</v>
      </c>
    </row>
    <row r="24" spans="1:10" x14ac:dyDescent="0.35">
      <c r="A24" s="3" t="s">
        <v>95</v>
      </c>
      <c r="B24" s="4">
        <v>29</v>
      </c>
      <c r="F24" s="3" t="s">
        <v>95</v>
      </c>
      <c r="G24" s="4">
        <v>10</v>
      </c>
      <c r="H24" s="4">
        <v>2</v>
      </c>
      <c r="I24" s="4">
        <v>4</v>
      </c>
      <c r="J24" s="4">
        <v>16</v>
      </c>
    </row>
    <row r="41" spans="1:5" x14ac:dyDescent="0.35">
      <c r="A41" s="2" t="s">
        <v>97</v>
      </c>
      <c r="B41" s="2" t="s">
        <v>96</v>
      </c>
    </row>
    <row r="42" spans="1:5" x14ac:dyDescent="0.35">
      <c r="A42" s="2" t="s">
        <v>94</v>
      </c>
      <c r="B42" t="s">
        <v>35</v>
      </c>
      <c r="C42" t="s">
        <v>48</v>
      </c>
      <c r="D42" t="s">
        <v>38</v>
      </c>
      <c r="E42" t="s">
        <v>95</v>
      </c>
    </row>
    <row r="43" spans="1:5" x14ac:dyDescent="0.35">
      <c r="A43" s="3" t="s">
        <v>50</v>
      </c>
      <c r="B43">
        <v>7</v>
      </c>
      <c r="C43">
        <v>3</v>
      </c>
      <c r="D43">
        <v>2</v>
      </c>
      <c r="E43">
        <v>12</v>
      </c>
    </row>
    <row r="44" spans="1:5" x14ac:dyDescent="0.35">
      <c r="A44" s="3" t="s">
        <v>43</v>
      </c>
      <c r="B44">
        <v>9</v>
      </c>
      <c r="C44">
        <v>2</v>
      </c>
      <c r="D44">
        <v>1</v>
      </c>
      <c r="E44">
        <v>12</v>
      </c>
    </row>
    <row r="45" spans="1:5" x14ac:dyDescent="0.35">
      <c r="A45" s="3" t="s">
        <v>41</v>
      </c>
      <c r="C45">
        <v>4</v>
      </c>
      <c r="D45">
        <v>6</v>
      </c>
      <c r="E45">
        <v>10</v>
      </c>
    </row>
    <row r="46" spans="1:5" x14ac:dyDescent="0.35">
      <c r="A46" s="3" t="s">
        <v>60</v>
      </c>
      <c r="B46">
        <v>2</v>
      </c>
      <c r="D46">
        <v>2</v>
      </c>
      <c r="E46">
        <v>4</v>
      </c>
    </row>
    <row r="47" spans="1:5" x14ac:dyDescent="0.35">
      <c r="A47" s="3" t="s">
        <v>45</v>
      </c>
      <c r="D47">
        <v>4</v>
      </c>
      <c r="E47">
        <v>4</v>
      </c>
    </row>
    <row r="48" spans="1:5" x14ac:dyDescent="0.35">
      <c r="A48" s="3" t="s">
        <v>33</v>
      </c>
      <c r="C48">
        <v>2</v>
      </c>
      <c r="D48">
        <v>1</v>
      </c>
      <c r="E48">
        <v>3</v>
      </c>
    </row>
    <row r="49" spans="1:5" x14ac:dyDescent="0.35">
      <c r="A49" s="3" t="s">
        <v>95</v>
      </c>
      <c r="B49">
        <v>18</v>
      </c>
      <c r="C49">
        <v>11</v>
      </c>
      <c r="D49">
        <v>16</v>
      </c>
      <c r="E49">
        <v>45</v>
      </c>
    </row>
  </sheetData>
  <pageMargins left="0.7" right="0.7" top="0.78740157499999996" bottom="0.78740157499999996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F3C7-685D-4DB8-94C5-8D9DED04F62E}">
  <dimension ref="A1:L46"/>
  <sheetViews>
    <sheetView topLeftCell="F28" workbookViewId="0">
      <selection activeCell="H10" sqref="H10"/>
    </sheetView>
  </sheetViews>
  <sheetFormatPr baseColWidth="10" defaultRowHeight="14.5" x14ac:dyDescent="0.35"/>
  <cols>
    <col min="1" max="1" width="16" bestFit="1" customWidth="1"/>
    <col min="2" max="2" width="15.1796875" bestFit="1" customWidth="1"/>
    <col min="3" max="3" width="13.26953125" bestFit="1" customWidth="1"/>
    <col min="4" max="4" width="14.1796875" bestFit="1" customWidth="1"/>
    <col min="5" max="5" width="18.90625" bestFit="1" customWidth="1"/>
    <col min="6" max="6" width="16.1796875" bestFit="1" customWidth="1"/>
    <col min="7" max="7" width="19.81640625" bestFit="1" customWidth="1"/>
    <col min="8" max="8" width="23.90625" bestFit="1" customWidth="1"/>
    <col min="9" max="9" width="17.7265625" bestFit="1" customWidth="1"/>
    <col min="10" max="10" width="31.7265625" bestFit="1" customWidth="1"/>
    <col min="11" max="11" width="21.36328125" bestFit="1" customWidth="1"/>
    <col min="12" max="12" width="20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5">
      <c r="A2" t="s">
        <v>22</v>
      </c>
      <c r="B2">
        <v>1003</v>
      </c>
      <c r="C2" s="1">
        <v>45827</v>
      </c>
      <c r="D2" s="1">
        <v>45908</v>
      </c>
      <c r="E2" t="s">
        <v>41</v>
      </c>
      <c r="F2" t="s">
        <v>42</v>
      </c>
      <c r="G2" s="1">
        <v>45782</v>
      </c>
      <c r="H2">
        <v>1007.88</v>
      </c>
      <c r="I2" t="s">
        <v>38</v>
      </c>
      <c r="J2" t="s">
        <v>73</v>
      </c>
      <c r="K2" t="s">
        <v>74</v>
      </c>
      <c r="L2" t="s">
        <v>48</v>
      </c>
    </row>
    <row r="3" spans="1:12" x14ac:dyDescent="0.35">
      <c r="A3" t="s">
        <v>22</v>
      </c>
      <c r="B3">
        <v>1001</v>
      </c>
      <c r="C3" s="1">
        <v>45880</v>
      </c>
      <c r="D3" s="1">
        <v>45881</v>
      </c>
      <c r="E3" t="s">
        <v>41</v>
      </c>
      <c r="F3" t="s">
        <v>42</v>
      </c>
      <c r="G3" s="1">
        <v>45782</v>
      </c>
      <c r="H3">
        <v>1007.88</v>
      </c>
      <c r="I3" t="s">
        <v>38</v>
      </c>
      <c r="J3" t="s">
        <v>70</v>
      </c>
      <c r="K3" t="s">
        <v>71</v>
      </c>
      <c r="L3" t="s">
        <v>35</v>
      </c>
    </row>
    <row r="4" spans="1:12" x14ac:dyDescent="0.35">
      <c r="A4" t="s">
        <v>9</v>
      </c>
      <c r="B4">
        <v>1009</v>
      </c>
      <c r="C4" s="1">
        <v>45389</v>
      </c>
      <c r="D4" s="1"/>
      <c r="E4" t="s">
        <v>43</v>
      </c>
      <c r="F4" t="s">
        <v>44</v>
      </c>
      <c r="G4" s="1">
        <v>44503</v>
      </c>
      <c r="H4">
        <v>823.23</v>
      </c>
      <c r="I4" t="s">
        <v>35</v>
      </c>
      <c r="J4" t="s">
        <v>81</v>
      </c>
      <c r="K4" t="s">
        <v>82</v>
      </c>
      <c r="L4" t="s">
        <v>48</v>
      </c>
    </row>
    <row r="5" spans="1:12" x14ac:dyDescent="0.35">
      <c r="A5" t="s">
        <v>9</v>
      </c>
      <c r="B5">
        <v>1006</v>
      </c>
      <c r="C5" s="1">
        <v>45892</v>
      </c>
      <c r="D5" s="1">
        <v>45922</v>
      </c>
      <c r="E5" t="s">
        <v>43</v>
      </c>
      <c r="F5" t="s">
        <v>44</v>
      </c>
      <c r="G5" s="1">
        <v>44503</v>
      </c>
      <c r="H5">
        <v>823.23</v>
      </c>
      <c r="I5" t="s">
        <v>35</v>
      </c>
      <c r="J5" t="s">
        <v>78</v>
      </c>
      <c r="K5" t="s">
        <v>76</v>
      </c>
      <c r="L5" t="s">
        <v>48</v>
      </c>
    </row>
    <row r="6" spans="1:12" x14ac:dyDescent="0.35">
      <c r="A6" t="s">
        <v>9</v>
      </c>
      <c r="B6">
        <v>1012</v>
      </c>
      <c r="C6" s="1">
        <v>45599</v>
      </c>
      <c r="D6" s="1"/>
      <c r="E6" t="s">
        <v>43</v>
      </c>
      <c r="F6" t="s">
        <v>44</v>
      </c>
      <c r="G6" s="1">
        <v>44503</v>
      </c>
      <c r="H6">
        <v>823.23</v>
      </c>
      <c r="I6" t="s">
        <v>35</v>
      </c>
      <c r="J6" t="s">
        <v>85</v>
      </c>
      <c r="K6" t="s">
        <v>71</v>
      </c>
      <c r="L6" t="s">
        <v>38</v>
      </c>
    </row>
    <row r="7" spans="1:12" x14ac:dyDescent="0.35">
      <c r="A7" t="s">
        <v>9</v>
      </c>
      <c r="B7">
        <v>1010</v>
      </c>
      <c r="C7" s="1">
        <v>45899</v>
      </c>
      <c r="D7" s="1">
        <v>45925</v>
      </c>
      <c r="E7" t="s">
        <v>43</v>
      </c>
      <c r="F7" t="s">
        <v>44</v>
      </c>
      <c r="G7" s="1">
        <v>44503</v>
      </c>
      <c r="H7">
        <v>823.23</v>
      </c>
      <c r="I7" t="s">
        <v>35</v>
      </c>
      <c r="J7" t="s">
        <v>83</v>
      </c>
      <c r="K7" t="s">
        <v>71</v>
      </c>
      <c r="L7" t="s">
        <v>48</v>
      </c>
    </row>
    <row r="8" spans="1:12" x14ac:dyDescent="0.35">
      <c r="A8" t="s">
        <v>8</v>
      </c>
      <c r="B8">
        <v>1012</v>
      </c>
      <c r="C8" s="1">
        <v>45808</v>
      </c>
      <c r="D8" s="1">
        <v>45818</v>
      </c>
      <c r="E8" t="s">
        <v>45</v>
      </c>
      <c r="F8" t="s">
        <v>46</v>
      </c>
      <c r="G8" s="1">
        <v>45292</v>
      </c>
      <c r="H8">
        <v>1257.96</v>
      </c>
      <c r="I8" t="s">
        <v>38</v>
      </c>
      <c r="J8" t="s">
        <v>85</v>
      </c>
      <c r="K8" t="s">
        <v>71</v>
      </c>
      <c r="L8" t="s">
        <v>38</v>
      </c>
    </row>
    <row r="9" spans="1:12" x14ac:dyDescent="0.35">
      <c r="A9" t="s">
        <v>8</v>
      </c>
      <c r="B9">
        <v>1007</v>
      </c>
      <c r="C9" s="1">
        <v>45476</v>
      </c>
      <c r="D9" s="1"/>
      <c r="E9" t="s">
        <v>45</v>
      </c>
      <c r="F9" t="s">
        <v>46</v>
      </c>
      <c r="G9" s="1">
        <v>45292</v>
      </c>
      <c r="H9">
        <v>1257.96</v>
      </c>
      <c r="I9" t="s">
        <v>38</v>
      </c>
      <c r="J9" t="s">
        <v>79</v>
      </c>
      <c r="K9" t="s">
        <v>71</v>
      </c>
      <c r="L9" t="s">
        <v>35</v>
      </c>
    </row>
    <row r="10" spans="1:12" x14ac:dyDescent="0.35">
      <c r="A10" t="s">
        <v>21</v>
      </c>
      <c r="B10">
        <v>1001</v>
      </c>
      <c r="C10" s="1">
        <v>45544</v>
      </c>
      <c r="D10" s="1">
        <v>45854</v>
      </c>
      <c r="E10" t="s">
        <v>41</v>
      </c>
      <c r="F10" t="s">
        <v>47</v>
      </c>
      <c r="G10" s="1">
        <v>44360</v>
      </c>
      <c r="H10">
        <v>869.09</v>
      </c>
      <c r="I10" t="s">
        <v>48</v>
      </c>
      <c r="J10" t="s">
        <v>70</v>
      </c>
      <c r="K10" t="s">
        <v>71</v>
      </c>
      <c r="L10" t="s">
        <v>35</v>
      </c>
    </row>
    <row r="11" spans="1:12" x14ac:dyDescent="0.35">
      <c r="A11" t="s">
        <v>21</v>
      </c>
      <c r="B11">
        <v>1001</v>
      </c>
      <c r="C11" s="1">
        <v>45880</v>
      </c>
      <c r="D11" s="1"/>
      <c r="E11" t="s">
        <v>41</v>
      </c>
      <c r="F11" t="s">
        <v>47</v>
      </c>
      <c r="G11" s="1">
        <v>44360</v>
      </c>
      <c r="H11">
        <v>869.09</v>
      </c>
      <c r="I11" t="s">
        <v>48</v>
      </c>
      <c r="J11" t="s">
        <v>70</v>
      </c>
      <c r="K11" t="s">
        <v>71</v>
      </c>
      <c r="L11" t="s">
        <v>35</v>
      </c>
    </row>
    <row r="12" spans="1:12" x14ac:dyDescent="0.35">
      <c r="A12" t="s">
        <v>10</v>
      </c>
      <c r="B12">
        <v>1011</v>
      </c>
      <c r="C12" s="1">
        <v>45850</v>
      </c>
      <c r="D12" s="1">
        <v>45853</v>
      </c>
      <c r="E12" t="s">
        <v>41</v>
      </c>
      <c r="F12" t="s">
        <v>42</v>
      </c>
      <c r="G12" s="1">
        <v>45026</v>
      </c>
      <c r="H12">
        <v>1458.02</v>
      </c>
      <c r="I12" t="s">
        <v>38</v>
      </c>
      <c r="J12" t="s">
        <v>84</v>
      </c>
      <c r="K12" t="s">
        <v>71</v>
      </c>
      <c r="L12" t="s">
        <v>48</v>
      </c>
    </row>
    <row r="13" spans="1:12" x14ac:dyDescent="0.35">
      <c r="A13" t="s">
        <v>11</v>
      </c>
      <c r="B13">
        <v>1005</v>
      </c>
      <c r="C13" s="1">
        <v>45837</v>
      </c>
      <c r="D13" s="1">
        <v>45898</v>
      </c>
      <c r="E13" t="s">
        <v>43</v>
      </c>
      <c r="F13" t="s">
        <v>53</v>
      </c>
      <c r="G13" s="1">
        <v>45909</v>
      </c>
      <c r="H13">
        <v>1417.1</v>
      </c>
      <c r="I13" t="s">
        <v>38</v>
      </c>
      <c r="J13" t="s">
        <v>77</v>
      </c>
      <c r="K13" t="s">
        <v>76</v>
      </c>
      <c r="L13" t="s">
        <v>35</v>
      </c>
    </row>
    <row r="14" spans="1:12" x14ac:dyDescent="0.35">
      <c r="A14" t="s">
        <v>13</v>
      </c>
      <c r="B14">
        <v>1012</v>
      </c>
      <c r="C14" s="1">
        <v>45419</v>
      </c>
      <c r="D14" s="1">
        <v>45470</v>
      </c>
      <c r="E14" t="s">
        <v>43</v>
      </c>
      <c r="F14" t="s">
        <v>44</v>
      </c>
      <c r="G14" s="1">
        <v>44332</v>
      </c>
      <c r="H14">
        <v>1898.65</v>
      </c>
      <c r="I14" t="s">
        <v>48</v>
      </c>
      <c r="J14" t="s">
        <v>85</v>
      </c>
      <c r="K14" t="s">
        <v>71</v>
      </c>
      <c r="L14" t="s">
        <v>38</v>
      </c>
    </row>
    <row r="15" spans="1:12" x14ac:dyDescent="0.35">
      <c r="A15" t="s">
        <v>13</v>
      </c>
      <c r="B15">
        <v>1009</v>
      </c>
      <c r="C15" s="1">
        <v>45319</v>
      </c>
      <c r="D15" s="1">
        <v>45714</v>
      </c>
      <c r="E15" t="s">
        <v>43</v>
      </c>
      <c r="F15" t="s">
        <v>44</v>
      </c>
      <c r="G15" s="1">
        <v>44332</v>
      </c>
      <c r="H15">
        <v>1898.65</v>
      </c>
      <c r="I15" t="s">
        <v>48</v>
      </c>
      <c r="J15" t="s">
        <v>81</v>
      </c>
      <c r="K15" t="s">
        <v>82</v>
      </c>
      <c r="L15" t="s">
        <v>48</v>
      </c>
    </row>
    <row r="16" spans="1:12" x14ac:dyDescent="0.35">
      <c r="A16" t="s">
        <v>25</v>
      </c>
      <c r="B16">
        <v>1001</v>
      </c>
      <c r="C16" s="1">
        <v>45622</v>
      </c>
      <c r="D16" s="1">
        <v>45719</v>
      </c>
      <c r="E16" t="s">
        <v>41</v>
      </c>
      <c r="F16" t="s">
        <v>47</v>
      </c>
      <c r="G16" s="1">
        <v>44258</v>
      </c>
      <c r="H16">
        <v>1415.97</v>
      </c>
      <c r="I16" t="s">
        <v>48</v>
      </c>
      <c r="J16" t="s">
        <v>70</v>
      </c>
      <c r="K16" t="s">
        <v>71</v>
      </c>
      <c r="L16" t="s">
        <v>35</v>
      </c>
    </row>
    <row r="17" spans="1:12" x14ac:dyDescent="0.35">
      <c r="A17" t="s">
        <v>15</v>
      </c>
      <c r="B17">
        <v>1010</v>
      </c>
      <c r="C17" s="1">
        <v>45377</v>
      </c>
      <c r="D17" s="1">
        <v>45886</v>
      </c>
      <c r="E17" t="s">
        <v>45</v>
      </c>
      <c r="F17" t="s">
        <v>55</v>
      </c>
      <c r="G17" s="1">
        <v>44824</v>
      </c>
      <c r="H17">
        <v>661.44</v>
      </c>
      <c r="I17" t="s">
        <v>38</v>
      </c>
      <c r="J17" t="s">
        <v>83</v>
      </c>
      <c r="K17" t="s">
        <v>71</v>
      </c>
      <c r="L17" t="s">
        <v>48</v>
      </c>
    </row>
    <row r="18" spans="1:12" x14ac:dyDescent="0.35">
      <c r="A18" t="s">
        <v>15</v>
      </c>
      <c r="B18">
        <v>1002</v>
      </c>
      <c r="C18" s="1">
        <v>45519</v>
      </c>
      <c r="D18" s="1"/>
      <c r="E18" t="s">
        <v>45</v>
      </c>
      <c r="F18" t="s">
        <v>55</v>
      </c>
      <c r="G18" s="1">
        <v>44824</v>
      </c>
      <c r="H18">
        <v>661.44</v>
      </c>
      <c r="I18" t="s">
        <v>38</v>
      </c>
      <c r="J18" t="s">
        <v>72</v>
      </c>
      <c r="K18" t="s">
        <v>71</v>
      </c>
      <c r="L18" t="s">
        <v>35</v>
      </c>
    </row>
    <row r="19" spans="1:12" x14ac:dyDescent="0.35">
      <c r="A19" t="s">
        <v>7</v>
      </c>
      <c r="B19">
        <v>1003</v>
      </c>
      <c r="C19" s="1">
        <v>45330</v>
      </c>
      <c r="D19" s="1">
        <v>45817</v>
      </c>
      <c r="E19" t="s">
        <v>43</v>
      </c>
      <c r="F19" t="s">
        <v>44</v>
      </c>
      <c r="G19" s="1">
        <v>45015</v>
      </c>
      <c r="H19">
        <v>1501.06</v>
      </c>
      <c r="I19" t="s">
        <v>35</v>
      </c>
      <c r="J19" t="s">
        <v>73</v>
      </c>
      <c r="K19" t="s">
        <v>74</v>
      </c>
      <c r="L19" t="s">
        <v>48</v>
      </c>
    </row>
    <row r="20" spans="1:12" x14ac:dyDescent="0.35">
      <c r="A20" t="s">
        <v>7</v>
      </c>
      <c r="B20">
        <v>1002</v>
      </c>
      <c r="C20" s="1">
        <v>45799</v>
      </c>
      <c r="D20" s="1">
        <v>45808</v>
      </c>
      <c r="E20" t="s">
        <v>43</v>
      </c>
      <c r="F20" t="s">
        <v>44</v>
      </c>
      <c r="G20" s="1">
        <v>45015</v>
      </c>
      <c r="H20">
        <v>1501.06</v>
      </c>
      <c r="I20" t="s">
        <v>35</v>
      </c>
      <c r="J20" t="s">
        <v>72</v>
      </c>
      <c r="K20" t="s">
        <v>71</v>
      </c>
      <c r="L20" t="s">
        <v>35</v>
      </c>
    </row>
    <row r="21" spans="1:12" x14ac:dyDescent="0.35">
      <c r="A21" t="s">
        <v>7</v>
      </c>
      <c r="B21">
        <v>1010</v>
      </c>
      <c r="C21" s="1">
        <v>45866</v>
      </c>
      <c r="D21" s="1"/>
      <c r="E21" t="s">
        <v>43</v>
      </c>
      <c r="F21" t="s">
        <v>44</v>
      </c>
      <c r="G21" s="1">
        <v>45015</v>
      </c>
      <c r="H21">
        <v>1501.06</v>
      </c>
      <c r="I21" t="s">
        <v>35</v>
      </c>
      <c r="J21" t="s">
        <v>83</v>
      </c>
      <c r="K21" t="s">
        <v>71</v>
      </c>
      <c r="L21" t="s">
        <v>48</v>
      </c>
    </row>
    <row r="22" spans="1:12" x14ac:dyDescent="0.35">
      <c r="A22" t="s">
        <v>7</v>
      </c>
      <c r="B22">
        <v>1007</v>
      </c>
      <c r="C22" s="1">
        <v>45795</v>
      </c>
      <c r="D22" s="1">
        <v>45846</v>
      </c>
      <c r="E22" t="s">
        <v>43</v>
      </c>
      <c r="F22" t="s">
        <v>44</v>
      </c>
      <c r="G22" s="1">
        <v>45015</v>
      </c>
      <c r="H22">
        <v>1501.06</v>
      </c>
      <c r="I22" t="s">
        <v>35</v>
      </c>
      <c r="J22" t="s">
        <v>79</v>
      </c>
      <c r="K22" t="s">
        <v>71</v>
      </c>
      <c r="L22" t="s">
        <v>35</v>
      </c>
    </row>
    <row r="23" spans="1:12" x14ac:dyDescent="0.35">
      <c r="A23" t="s">
        <v>7</v>
      </c>
      <c r="B23">
        <v>1010</v>
      </c>
      <c r="C23" s="1">
        <v>45808</v>
      </c>
      <c r="D23" s="1">
        <v>45932</v>
      </c>
      <c r="E23" t="s">
        <v>43</v>
      </c>
      <c r="F23" t="s">
        <v>44</v>
      </c>
      <c r="G23" s="1">
        <v>45015</v>
      </c>
      <c r="H23">
        <v>1501.06</v>
      </c>
      <c r="I23" t="s">
        <v>35</v>
      </c>
      <c r="J23" t="s">
        <v>83</v>
      </c>
      <c r="K23" t="s">
        <v>71</v>
      </c>
      <c r="L23" t="s">
        <v>48</v>
      </c>
    </row>
    <row r="24" spans="1:12" x14ac:dyDescent="0.35">
      <c r="A24" t="s">
        <v>17</v>
      </c>
      <c r="B24">
        <v>1011</v>
      </c>
      <c r="C24" s="1">
        <v>45568</v>
      </c>
      <c r="D24" s="1">
        <v>45623</v>
      </c>
      <c r="E24" t="s">
        <v>33</v>
      </c>
      <c r="F24" t="s">
        <v>40</v>
      </c>
      <c r="G24" s="1">
        <v>44839</v>
      </c>
      <c r="H24">
        <v>1688.07</v>
      </c>
      <c r="I24" t="s">
        <v>38</v>
      </c>
      <c r="J24" t="s">
        <v>84</v>
      </c>
      <c r="K24" t="s">
        <v>71</v>
      </c>
      <c r="L24" t="s">
        <v>48</v>
      </c>
    </row>
    <row r="25" spans="1:12" x14ac:dyDescent="0.35">
      <c r="A25" t="s">
        <v>5</v>
      </c>
      <c r="B25">
        <v>1008</v>
      </c>
      <c r="C25" s="1">
        <v>45930</v>
      </c>
      <c r="D25" s="1">
        <v>45935</v>
      </c>
      <c r="E25" t="s">
        <v>60</v>
      </c>
      <c r="F25" t="s">
        <v>61</v>
      </c>
      <c r="G25" s="1">
        <v>44979</v>
      </c>
      <c r="H25">
        <v>1134.1600000000001</v>
      </c>
      <c r="I25" t="s">
        <v>38</v>
      </c>
      <c r="J25" t="s">
        <v>80</v>
      </c>
      <c r="K25" t="s">
        <v>71</v>
      </c>
      <c r="L25" t="s">
        <v>48</v>
      </c>
    </row>
    <row r="26" spans="1:12" x14ac:dyDescent="0.35">
      <c r="A26" t="s">
        <v>16</v>
      </c>
      <c r="B26">
        <v>1002</v>
      </c>
      <c r="C26" s="1">
        <v>45899</v>
      </c>
      <c r="D26" s="1">
        <v>45930</v>
      </c>
      <c r="E26" t="s">
        <v>33</v>
      </c>
      <c r="F26" t="s">
        <v>40</v>
      </c>
      <c r="G26" s="1">
        <v>45524</v>
      </c>
      <c r="H26">
        <v>1591.98</v>
      </c>
      <c r="I26" t="s">
        <v>48</v>
      </c>
      <c r="J26" t="s">
        <v>72</v>
      </c>
      <c r="K26" t="s">
        <v>71</v>
      </c>
      <c r="L26" t="s">
        <v>35</v>
      </c>
    </row>
    <row r="27" spans="1:12" x14ac:dyDescent="0.35">
      <c r="A27" t="s">
        <v>16</v>
      </c>
      <c r="B27">
        <v>1002</v>
      </c>
      <c r="C27" s="1">
        <v>45493</v>
      </c>
      <c r="D27" s="1">
        <v>45663</v>
      </c>
      <c r="E27" t="s">
        <v>33</v>
      </c>
      <c r="F27" t="s">
        <v>40</v>
      </c>
      <c r="G27" s="1">
        <v>45524</v>
      </c>
      <c r="H27">
        <v>1591.98</v>
      </c>
      <c r="I27" t="s">
        <v>48</v>
      </c>
      <c r="J27" t="s">
        <v>72</v>
      </c>
      <c r="K27" t="s">
        <v>71</v>
      </c>
      <c r="L27" t="s">
        <v>35</v>
      </c>
    </row>
    <row r="28" spans="1:12" x14ac:dyDescent="0.35">
      <c r="A28" t="s">
        <v>6</v>
      </c>
      <c r="B28">
        <v>1008</v>
      </c>
      <c r="C28" s="1">
        <v>45375</v>
      </c>
      <c r="D28" s="1"/>
      <c r="E28" t="s">
        <v>60</v>
      </c>
      <c r="F28" t="s">
        <v>63</v>
      </c>
      <c r="G28" s="1">
        <v>44621</v>
      </c>
      <c r="H28">
        <v>750.91</v>
      </c>
      <c r="I28" t="s">
        <v>35</v>
      </c>
      <c r="J28" t="s">
        <v>80</v>
      </c>
      <c r="K28" t="s">
        <v>71</v>
      </c>
      <c r="L28" t="s">
        <v>48</v>
      </c>
    </row>
    <row r="29" spans="1:12" x14ac:dyDescent="0.35">
      <c r="A29" t="s">
        <v>6</v>
      </c>
      <c r="B29">
        <v>1005</v>
      </c>
      <c r="C29" s="1">
        <v>45743</v>
      </c>
      <c r="D29" s="1">
        <v>45868</v>
      </c>
      <c r="E29" t="s">
        <v>60</v>
      </c>
      <c r="F29" t="s">
        <v>63</v>
      </c>
      <c r="G29" s="1">
        <v>44621</v>
      </c>
      <c r="H29">
        <v>750.91</v>
      </c>
      <c r="I29" t="s">
        <v>35</v>
      </c>
      <c r="J29" t="s">
        <v>77</v>
      </c>
      <c r="K29" t="s">
        <v>76</v>
      </c>
      <c r="L29" t="s">
        <v>35</v>
      </c>
    </row>
    <row r="30" spans="1:12" x14ac:dyDescent="0.35">
      <c r="A30" t="s">
        <v>23</v>
      </c>
      <c r="B30">
        <v>1005</v>
      </c>
      <c r="C30" s="1">
        <v>45675</v>
      </c>
      <c r="D30" s="1"/>
      <c r="E30" t="s">
        <v>50</v>
      </c>
      <c r="F30" t="s">
        <v>51</v>
      </c>
      <c r="G30" s="1">
        <v>45266</v>
      </c>
      <c r="H30">
        <v>545.46</v>
      </c>
      <c r="I30" t="s">
        <v>35</v>
      </c>
      <c r="J30" t="s">
        <v>77</v>
      </c>
      <c r="K30" t="s">
        <v>76</v>
      </c>
      <c r="L30" t="s">
        <v>35</v>
      </c>
    </row>
    <row r="31" spans="1:12" x14ac:dyDescent="0.35">
      <c r="A31" t="s">
        <v>19</v>
      </c>
      <c r="B31">
        <v>1004</v>
      </c>
      <c r="C31" s="1">
        <v>45403</v>
      </c>
      <c r="D31" s="1">
        <v>45839</v>
      </c>
      <c r="E31" t="s">
        <v>60</v>
      </c>
      <c r="F31" t="s">
        <v>61</v>
      </c>
      <c r="G31" s="1">
        <v>44766</v>
      </c>
      <c r="H31">
        <v>501.64</v>
      </c>
      <c r="I31" t="s">
        <v>38</v>
      </c>
      <c r="J31" t="s">
        <v>75</v>
      </c>
      <c r="K31" t="s">
        <v>76</v>
      </c>
      <c r="L31" t="s">
        <v>48</v>
      </c>
    </row>
    <row r="32" spans="1:12" x14ac:dyDescent="0.35">
      <c r="A32" t="s">
        <v>12</v>
      </c>
      <c r="B32">
        <v>1004</v>
      </c>
      <c r="C32" s="1">
        <v>45523</v>
      </c>
      <c r="D32" s="1"/>
      <c r="E32" t="s">
        <v>50</v>
      </c>
      <c r="F32" t="s">
        <v>51</v>
      </c>
      <c r="G32" s="1">
        <v>44945</v>
      </c>
      <c r="H32">
        <v>1246.58</v>
      </c>
      <c r="I32" t="s">
        <v>48</v>
      </c>
      <c r="J32" t="s">
        <v>75</v>
      </c>
      <c r="K32" t="s">
        <v>76</v>
      </c>
      <c r="L32" t="s">
        <v>48</v>
      </c>
    </row>
    <row r="33" spans="1:12" x14ac:dyDescent="0.35">
      <c r="A33" t="s">
        <v>12</v>
      </c>
      <c r="B33">
        <v>1006</v>
      </c>
      <c r="C33" s="1">
        <v>45630</v>
      </c>
      <c r="D33" s="1">
        <v>45732</v>
      </c>
      <c r="E33" t="s">
        <v>50</v>
      </c>
      <c r="F33" t="s">
        <v>51</v>
      </c>
      <c r="G33" s="1">
        <v>44945</v>
      </c>
      <c r="H33">
        <v>1246.58</v>
      </c>
      <c r="I33" t="s">
        <v>48</v>
      </c>
      <c r="J33" t="s">
        <v>78</v>
      </c>
      <c r="K33" t="s">
        <v>76</v>
      </c>
      <c r="L33" t="s">
        <v>48</v>
      </c>
    </row>
    <row r="34" spans="1:12" x14ac:dyDescent="0.35">
      <c r="A34" t="s">
        <v>12</v>
      </c>
      <c r="B34">
        <v>1003</v>
      </c>
      <c r="C34" s="1">
        <v>45595</v>
      </c>
      <c r="D34" s="1">
        <v>45630</v>
      </c>
      <c r="E34" t="s">
        <v>50</v>
      </c>
      <c r="F34" t="s">
        <v>51</v>
      </c>
      <c r="G34" s="1">
        <v>44945</v>
      </c>
      <c r="H34">
        <v>1246.58</v>
      </c>
      <c r="I34" t="s">
        <v>48</v>
      </c>
      <c r="J34" t="s">
        <v>73</v>
      </c>
      <c r="K34" t="s">
        <v>74</v>
      </c>
      <c r="L34" t="s">
        <v>48</v>
      </c>
    </row>
    <row r="35" spans="1:12" x14ac:dyDescent="0.35">
      <c r="A35" t="s">
        <v>14</v>
      </c>
      <c r="B35">
        <v>1002</v>
      </c>
      <c r="C35" s="1">
        <v>45921</v>
      </c>
      <c r="D35" s="1">
        <v>45934</v>
      </c>
      <c r="E35" t="s">
        <v>41</v>
      </c>
      <c r="F35" t="s">
        <v>47</v>
      </c>
      <c r="G35" s="1">
        <v>44337</v>
      </c>
      <c r="H35">
        <v>1553.15</v>
      </c>
      <c r="I35" t="s">
        <v>48</v>
      </c>
      <c r="J35" t="s">
        <v>72</v>
      </c>
      <c r="K35" t="s">
        <v>71</v>
      </c>
      <c r="L35" t="s">
        <v>35</v>
      </c>
    </row>
    <row r="36" spans="1:12" x14ac:dyDescent="0.35">
      <c r="A36" t="s">
        <v>20</v>
      </c>
      <c r="B36">
        <v>1012</v>
      </c>
      <c r="C36" s="1">
        <v>45792</v>
      </c>
      <c r="D36" s="1">
        <v>45905</v>
      </c>
      <c r="E36" t="s">
        <v>50</v>
      </c>
      <c r="F36" t="s">
        <v>51</v>
      </c>
      <c r="G36" s="1">
        <v>44647</v>
      </c>
      <c r="H36">
        <v>1629.76</v>
      </c>
      <c r="I36" t="s">
        <v>38</v>
      </c>
      <c r="J36" t="s">
        <v>85</v>
      </c>
      <c r="K36" t="s">
        <v>71</v>
      </c>
      <c r="L36" t="s">
        <v>38</v>
      </c>
    </row>
    <row r="37" spans="1:12" x14ac:dyDescent="0.35">
      <c r="A37" t="s">
        <v>20</v>
      </c>
      <c r="B37">
        <v>1005</v>
      </c>
      <c r="C37" s="1">
        <v>45261</v>
      </c>
      <c r="D37" s="1">
        <v>45559</v>
      </c>
      <c r="E37" t="s">
        <v>50</v>
      </c>
      <c r="F37" t="s">
        <v>51</v>
      </c>
      <c r="G37" s="1">
        <v>44647</v>
      </c>
      <c r="H37">
        <v>1629.76</v>
      </c>
      <c r="I37" t="s">
        <v>38</v>
      </c>
      <c r="J37" t="s">
        <v>77</v>
      </c>
      <c r="K37" t="s">
        <v>76</v>
      </c>
      <c r="L37" t="s">
        <v>35</v>
      </c>
    </row>
    <row r="38" spans="1:12" x14ac:dyDescent="0.35">
      <c r="A38" t="s">
        <v>18</v>
      </c>
      <c r="B38">
        <v>1004</v>
      </c>
      <c r="C38" s="1">
        <v>45320</v>
      </c>
      <c r="D38" s="1"/>
      <c r="E38" t="s">
        <v>41</v>
      </c>
      <c r="F38" t="s">
        <v>65</v>
      </c>
      <c r="G38" s="1">
        <v>45775</v>
      </c>
      <c r="H38">
        <v>1095.6199999999999</v>
      </c>
      <c r="I38" t="s">
        <v>38</v>
      </c>
      <c r="J38" t="s">
        <v>75</v>
      </c>
      <c r="K38" t="s">
        <v>76</v>
      </c>
      <c r="L38" t="s">
        <v>48</v>
      </c>
    </row>
    <row r="39" spans="1:12" x14ac:dyDescent="0.35">
      <c r="A39" t="s">
        <v>18</v>
      </c>
      <c r="B39">
        <v>1004</v>
      </c>
      <c r="C39" s="1">
        <v>45336</v>
      </c>
      <c r="D39" s="1"/>
      <c r="E39" t="s">
        <v>41</v>
      </c>
      <c r="F39" t="s">
        <v>65</v>
      </c>
      <c r="G39" s="1">
        <v>45775</v>
      </c>
      <c r="H39">
        <v>1095.6199999999999</v>
      </c>
      <c r="I39" t="s">
        <v>38</v>
      </c>
      <c r="J39" t="s">
        <v>75</v>
      </c>
      <c r="K39" t="s">
        <v>76</v>
      </c>
      <c r="L39" t="s">
        <v>48</v>
      </c>
    </row>
    <row r="40" spans="1:12" x14ac:dyDescent="0.35">
      <c r="A40" t="s">
        <v>24</v>
      </c>
      <c r="B40">
        <v>1003</v>
      </c>
      <c r="C40" s="1">
        <v>45508</v>
      </c>
      <c r="D40" s="1">
        <v>45871</v>
      </c>
      <c r="E40" t="s">
        <v>41</v>
      </c>
      <c r="F40" t="s">
        <v>47</v>
      </c>
      <c r="G40" s="1">
        <v>44876</v>
      </c>
      <c r="H40">
        <v>1801.36</v>
      </c>
      <c r="I40" t="s">
        <v>38</v>
      </c>
      <c r="J40" t="s">
        <v>73</v>
      </c>
      <c r="K40" t="s">
        <v>74</v>
      </c>
      <c r="L40" t="s">
        <v>48</v>
      </c>
    </row>
    <row r="41" spans="1:12" x14ac:dyDescent="0.35">
      <c r="A41" t="s">
        <v>26</v>
      </c>
      <c r="B41">
        <v>1009</v>
      </c>
      <c r="C41" s="1">
        <v>45740</v>
      </c>
      <c r="D41" s="1">
        <v>45784</v>
      </c>
      <c r="E41" t="s">
        <v>50</v>
      </c>
      <c r="F41" t="s">
        <v>66</v>
      </c>
      <c r="G41" s="1">
        <v>44623</v>
      </c>
      <c r="H41">
        <v>1212.29</v>
      </c>
      <c r="I41" t="s">
        <v>35</v>
      </c>
      <c r="J41" t="s">
        <v>81</v>
      </c>
      <c r="K41" t="s">
        <v>82</v>
      </c>
      <c r="L41" t="s">
        <v>48</v>
      </c>
    </row>
    <row r="42" spans="1:12" x14ac:dyDescent="0.35">
      <c r="A42" t="s">
        <v>26</v>
      </c>
      <c r="B42">
        <v>1002</v>
      </c>
      <c r="C42" s="1">
        <v>45741</v>
      </c>
      <c r="D42" s="1"/>
      <c r="E42" t="s">
        <v>50</v>
      </c>
      <c r="F42" t="s">
        <v>66</v>
      </c>
      <c r="G42" s="1">
        <v>44623</v>
      </c>
      <c r="H42">
        <v>1212.29</v>
      </c>
      <c r="I42" t="s">
        <v>35</v>
      </c>
      <c r="J42" t="s">
        <v>72</v>
      </c>
      <c r="K42" t="s">
        <v>71</v>
      </c>
      <c r="L42" t="s">
        <v>35</v>
      </c>
    </row>
    <row r="43" spans="1:12" x14ac:dyDescent="0.35">
      <c r="A43" t="s">
        <v>4</v>
      </c>
      <c r="B43">
        <v>1009</v>
      </c>
      <c r="C43" s="1">
        <v>45421</v>
      </c>
      <c r="D43" s="1"/>
      <c r="E43" t="s">
        <v>50</v>
      </c>
      <c r="F43" t="s">
        <v>66</v>
      </c>
      <c r="G43" s="1">
        <v>45294</v>
      </c>
      <c r="H43">
        <v>644.54</v>
      </c>
      <c r="I43" t="s">
        <v>35</v>
      </c>
      <c r="J43" t="s">
        <v>81</v>
      </c>
      <c r="K43" t="s">
        <v>82</v>
      </c>
      <c r="L43" t="s">
        <v>48</v>
      </c>
    </row>
    <row r="44" spans="1:12" x14ac:dyDescent="0.35">
      <c r="A44" t="s">
        <v>4</v>
      </c>
      <c r="B44">
        <v>1001</v>
      </c>
      <c r="C44" s="1">
        <v>45297</v>
      </c>
      <c r="D44" s="1"/>
      <c r="E44" t="s">
        <v>50</v>
      </c>
      <c r="F44" t="s">
        <v>66</v>
      </c>
      <c r="G44" s="1">
        <v>45294</v>
      </c>
      <c r="H44">
        <v>644.54</v>
      </c>
      <c r="I44" t="s">
        <v>35</v>
      </c>
      <c r="J44" t="s">
        <v>70</v>
      </c>
      <c r="K44" t="s">
        <v>71</v>
      </c>
      <c r="L44" t="s">
        <v>35</v>
      </c>
    </row>
    <row r="45" spans="1:12" x14ac:dyDescent="0.35">
      <c r="A45" t="s">
        <v>4</v>
      </c>
      <c r="B45">
        <v>1003</v>
      </c>
      <c r="C45" s="1">
        <v>45417</v>
      </c>
      <c r="D45" s="1"/>
      <c r="E45" t="s">
        <v>50</v>
      </c>
      <c r="F45" t="s">
        <v>66</v>
      </c>
      <c r="G45" s="1">
        <v>45294</v>
      </c>
      <c r="H45">
        <v>644.54</v>
      </c>
      <c r="I45" t="s">
        <v>35</v>
      </c>
      <c r="J45" t="s">
        <v>73</v>
      </c>
      <c r="K45" t="s">
        <v>74</v>
      </c>
      <c r="L45" t="s">
        <v>48</v>
      </c>
    </row>
    <row r="46" spans="1:12" x14ac:dyDescent="0.35">
      <c r="A46" t="s">
        <v>4</v>
      </c>
      <c r="B46">
        <v>1001</v>
      </c>
      <c r="C46" s="1">
        <v>45641</v>
      </c>
      <c r="D46" s="1"/>
      <c r="E46" t="s">
        <v>50</v>
      </c>
      <c r="F46" t="s">
        <v>66</v>
      </c>
      <c r="G46" s="1">
        <v>45294</v>
      </c>
      <c r="H46">
        <v>644.54</v>
      </c>
      <c r="I46" t="s">
        <v>35</v>
      </c>
      <c r="J46" t="s">
        <v>70</v>
      </c>
      <c r="K46" t="s">
        <v>71</v>
      </c>
      <c r="L46" t="s">
        <v>35</v>
      </c>
    </row>
  </sheetData>
  <conditionalFormatting sqref="C1:D46">
    <cfRule type="expression" dxfId="3" priority="5">
      <formula>#REF!=FALSE</formula>
    </cfRule>
    <cfRule type="expression" dxfId="2" priority="6">
      <formula>#REF!=TRUE</formula>
    </cfRule>
  </conditionalFormatting>
  <conditionalFormatting sqref="C47:D1048576">
    <cfRule type="expression" dxfId="1" priority="1">
      <formula>$M47=FALSE</formula>
    </cfRule>
    <cfRule type="expression" dxfId="0" priority="2">
      <formula>$M47=TRUE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025-26B5-4A81-93AC-B6D1DA97D5D1}">
  <dimension ref="A1:I46"/>
  <sheetViews>
    <sheetView topLeftCell="A16" workbookViewId="0"/>
  </sheetViews>
  <sheetFormatPr baseColWidth="10" defaultRowHeight="14.5" x14ac:dyDescent="0.35"/>
  <cols>
    <col min="1" max="1" width="16" bestFit="1" customWidth="1"/>
    <col min="2" max="2" width="15.1796875" bestFit="1" customWidth="1"/>
    <col min="3" max="3" width="13.26953125" bestFit="1" customWidth="1"/>
    <col min="4" max="4" width="14.1796875" bestFit="1" customWidth="1"/>
    <col min="5" max="5" width="18.90625" bestFit="1" customWidth="1"/>
    <col min="6" max="6" width="16.1796875" bestFit="1" customWidth="1"/>
    <col min="7" max="7" width="19.81640625" bestFit="1" customWidth="1"/>
    <col min="8" max="8" width="23.90625" bestFit="1" customWidth="1"/>
    <col min="9" max="9" width="17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x14ac:dyDescent="0.35">
      <c r="A2" t="s">
        <v>4</v>
      </c>
      <c r="B2">
        <v>1009</v>
      </c>
      <c r="C2" s="1">
        <v>45421</v>
      </c>
      <c r="D2" s="1"/>
      <c r="E2" t="s">
        <v>50</v>
      </c>
      <c r="F2" t="s">
        <v>66</v>
      </c>
      <c r="G2" s="1">
        <v>45294</v>
      </c>
      <c r="H2">
        <v>644.54</v>
      </c>
      <c r="I2" t="s">
        <v>35</v>
      </c>
    </row>
    <row r="3" spans="1:9" x14ac:dyDescent="0.35">
      <c r="A3" t="s">
        <v>4</v>
      </c>
      <c r="B3">
        <v>1003</v>
      </c>
      <c r="C3" s="1">
        <v>45417</v>
      </c>
      <c r="D3" s="1"/>
      <c r="E3" t="s">
        <v>50</v>
      </c>
      <c r="F3" t="s">
        <v>66</v>
      </c>
      <c r="G3" s="1">
        <v>45294</v>
      </c>
      <c r="H3">
        <v>644.54</v>
      </c>
      <c r="I3" t="s">
        <v>35</v>
      </c>
    </row>
    <row r="4" spans="1:9" x14ac:dyDescent="0.35">
      <c r="A4" t="s">
        <v>4</v>
      </c>
      <c r="B4">
        <v>1001</v>
      </c>
      <c r="C4" s="1">
        <v>45297</v>
      </c>
      <c r="D4" s="1"/>
      <c r="E4" t="s">
        <v>50</v>
      </c>
      <c r="F4" t="s">
        <v>66</v>
      </c>
      <c r="G4" s="1">
        <v>45294</v>
      </c>
      <c r="H4">
        <v>644.54</v>
      </c>
      <c r="I4" t="s">
        <v>35</v>
      </c>
    </row>
    <row r="5" spans="1:9" x14ac:dyDescent="0.35">
      <c r="A5" t="s">
        <v>5</v>
      </c>
      <c r="B5">
        <v>1008</v>
      </c>
      <c r="C5" s="1">
        <v>45930</v>
      </c>
      <c r="D5" s="1">
        <v>45935</v>
      </c>
      <c r="E5" t="s">
        <v>60</v>
      </c>
      <c r="F5" t="s">
        <v>61</v>
      </c>
      <c r="G5" s="1">
        <v>44979</v>
      </c>
      <c r="H5">
        <v>1134.1600000000001</v>
      </c>
      <c r="I5" t="s">
        <v>38</v>
      </c>
    </row>
    <row r="6" spans="1:9" x14ac:dyDescent="0.35">
      <c r="A6" t="s">
        <v>6</v>
      </c>
      <c r="B6">
        <v>1005</v>
      </c>
      <c r="C6" s="1">
        <v>45743</v>
      </c>
      <c r="D6" s="1">
        <v>45868</v>
      </c>
      <c r="E6" t="s">
        <v>60</v>
      </c>
      <c r="F6" t="s">
        <v>63</v>
      </c>
      <c r="G6" s="1">
        <v>44621</v>
      </c>
      <c r="H6">
        <v>750.91</v>
      </c>
      <c r="I6" t="s">
        <v>35</v>
      </c>
    </row>
    <row r="7" spans="1:9" x14ac:dyDescent="0.35">
      <c r="A7" t="s">
        <v>6</v>
      </c>
      <c r="B7">
        <v>1008</v>
      </c>
      <c r="C7" s="1">
        <v>45375</v>
      </c>
      <c r="D7" s="1"/>
      <c r="E7" t="s">
        <v>60</v>
      </c>
      <c r="F7" t="s">
        <v>63</v>
      </c>
      <c r="G7" s="1">
        <v>44621</v>
      </c>
      <c r="H7">
        <v>750.91</v>
      </c>
      <c r="I7" t="s">
        <v>35</v>
      </c>
    </row>
    <row r="8" spans="1:9" x14ac:dyDescent="0.35">
      <c r="A8" t="s">
        <v>7</v>
      </c>
      <c r="B8">
        <v>1010</v>
      </c>
      <c r="C8" s="1">
        <v>45866</v>
      </c>
      <c r="D8" s="1"/>
      <c r="E8" t="s">
        <v>43</v>
      </c>
      <c r="F8" t="s">
        <v>44</v>
      </c>
      <c r="G8" s="1">
        <v>45015</v>
      </c>
      <c r="H8">
        <v>1501.06</v>
      </c>
      <c r="I8" t="s">
        <v>35</v>
      </c>
    </row>
    <row r="9" spans="1:9" x14ac:dyDescent="0.35">
      <c r="A9" t="s">
        <v>7</v>
      </c>
      <c r="B9">
        <v>1002</v>
      </c>
      <c r="C9" s="1">
        <v>45799</v>
      </c>
      <c r="D9" s="1">
        <v>45808</v>
      </c>
      <c r="E9" t="s">
        <v>43</v>
      </c>
      <c r="F9" t="s">
        <v>44</v>
      </c>
      <c r="G9" s="1">
        <v>45015</v>
      </c>
      <c r="H9">
        <v>1501.06</v>
      </c>
      <c r="I9" t="s">
        <v>35</v>
      </c>
    </row>
    <row r="10" spans="1:9" x14ac:dyDescent="0.35">
      <c r="A10" t="s">
        <v>7</v>
      </c>
      <c r="B10">
        <v>1003</v>
      </c>
      <c r="C10" s="1">
        <v>45330</v>
      </c>
      <c r="D10" s="1">
        <v>45817</v>
      </c>
      <c r="E10" t="s">
        <v>43</v>
      </c>
      <c r="F10" t="s">
        <v>44</v>
      </c>
      <c r="G10" s="1">
        <v>45015</v>
      </c>
      <c r="H10">
        <v>1501.06</v>
      </c>
      <c r="I10" t="s">
        <v>35</v>
      </c>
    </row>
    <row r="11" spans="1:9" x14ac:dyDescent="0.35">
      <c r="A11" t="s">
        <v>22</v>
      </c>
      <c r="B11">
        <v>1003</v>
      </c>
      <c r="C11" s="1">
        <v>45827</v>
      </c>
      <c r="D11" s="1">
        <v>45908</v>
      </c>
      <c r="E11" t="s">
        <v>41</v>
      </c>
      <c r="F11" t="s">
        <v>42</v>
      </c>
      <c r="G11" s="1">
        <v>45782</v>
      </c>
      <c r="H11">
        <v>1007.88</v>
      </c>
      <c r="I11" t="s">
        <v>38</v>
      </c>
    </row>
    <row r="12" spans="1:9" x14ac:dyDescent="0.35">
      <c r="A12" t="s">
        <v>8</v>
      </c>
      <c r="B12">
        <v>1012</v>
      </c>
      <c r="C12" s="1">
        <v>45808</v>
      </c>
      <c r="D12" s="1">
        <v>45818</v>
      </c>
      <c r="E12" t="s">
        <v>45</v>
      </c>
      <c r="F12" t="s">
        <v>46</v>
      </c>
      <c r="G12" s="1">
        <v>45292</v>
      </c>
      <c r="H12">
        <v>1257.96</v>
      </c>
      <c r="I12" t="s">
        <v>38</v>
      </c>
    </row>
    <row r="13" spans="1:9" x14ac:dyDescent="0.35">
      <c r="A13" t="s">
        <v>9</v>
      </c>
      <c r="B13">
        <v>1009</v>
      </c>
      <c r="C13" s="1">
        <v>45389</v>
      </c>
      <c r="D13" s="1"/>
      <c r="E13" t="s">
        <v>43</v>
      </c>
      <c r="F13" t="s">
        <v>44</v>
      </c>
      <c r="G13" s="1">
        <v>44503</v>
      </c>
      <c r="H13">
        <v>823.23</v>
      </c>
      <c r="I13" t="s">
        <v>35</v>
      </c>
    </row>
    <row r="14" spans="1:9" x14ac:dyDescent="0.35">
      <c r="A14" t="s">
        <v>9</v>
      </c>
      <c r="B14">
        <v>1006</v>
      </c>
      <c r="C14" s="1">
        <v>45892</v>
      </c>
      <c r="D14" s="1">
        <v>45922</v>
      </c>
      <c r="E14" t="s">
        <v>43</v>
      </c>
      <c r="F14" t="s">
        <v>44</v>
      </c>
      <c r="G14" s="1">
        <v>44503</v>
      </c>
      <c r="H14">
        <v>823.23</v>
      </c>
      <c r="I14" t="s">
        <v>35</v>
      </c>
    </row>
    <row r="15" spans="1:9" x14ac:dyDescent="0.35">
      <c r="A15" t="s">
        <v>9</v>
      </c>
      <c r="B15">
        <v>1012</v>
      </c>
      <c r="C15" s="1">
        <v>45599</v>
      </c>
      <c r="D15" s="1"/>
      <c r="E15" t="s">
        <v>43</v>
      </c>
      <c r="F15" t="s">
        <v>44</v>
      </c>
      <c r="G15" s="1">
        <v>44503</v>
      </c>
      <c r="H15">
        <v>823.23</v>
      </c>
      <c r="I15" t="s">
        <v>35</v>
      </c>
    </row>
    <row r="16" spans="1:9" x14ac:dyDescent="0.35">
      <c r="A16" t="s">
        <v>10</v>
      </c>
      <c r="B16">
        <v>1011</v>
      </c>
      <c r="C16" s="1">
        <v>45850</v>
      </c>
      <c r="D16" s="1">
        <v>45853</v>
      </c>
      <c r="E16" t="s">
        <v>41</v>
      </c>
      <c r="F16" t="s">
        <v>42</v>
      </c>
      <c r="G16" s="1">
        <v>45026</v>
      </c>
      <c r="H16">
        <v>1458.02</v>
      </c>
      <c r="I16" t="s">
        <v>38</v>
      </c>
    </row>
    <row r="17" spans="1:9" x14ac:dyDescent="0.35">
      <c r="A17" t="s">
        <v>21</v>
      </c>
      <c r="B17">
        <v>1001</v>
      </c>
      <c r="C17" s="1">
        <v>45544</v>
      </c>
      <c r="D17" s="1">
        <v>45854</v>
      </c>
      <c r="E17" t="s">
        <v>41</v>
      </c>
      <c r="F17" t="s">
        <v>47</v>
      </c>
      <c r="G17" s="1">
        <v>44360</v>
      </c>
      <c r="H17">
        <v>869.09</v>
      </c>
      <c r="I17" t="s">
        <v>48</v>
      </c>
    </row>
    <row r="18" spans="1:9" x14ac:dyDescent="0.35">
      <c r="A18" t="s">
        <v>21</v>
      </c>
      <c r="B18">
        <v>1001</v>
      </c>
      <c r="C18" s="1">
        <v>45880</v>
      </c>
      <c r="D18" s="1"/>
      <c r="E18" t="s">
        <v>41</v>
      </c>
      <c r="F18" t="s">
        <v>47</v>
      </c>
      <c r="G18" s="1">
        <v>44360</v>
      </c>
      <c r="H18">
        <v>869.09</v>
      </c>
      <c r="I18" t="s">
        <v>48</v>
      </c>
    </row>
    <row r="19" spans="1:9" x14ac:dyDescent="0.35">
      <c r="A19" t="s">
        <v>11</v>
      </c>
      <c r="B19">
        <v>1005</v>
      </c>
      <c r="C19" s="1">
        <v>45837</v>
      </c>
      <c r="D19" s="1">
        <v>45898</v>
      </c>
      <c r="E19" t="s">
        <v>43</v>
      </c>
      <c r="F19" t="s">
        <v>53</v>
      </c>
      <c r="G19" s="1">
        <v>45909</v>
      </c>
      <c r="H19">
        <v>1417.1</v>
      </c>
      <c r="I19" t="s">
        <v>38</v>
      </c>
    </row>
    <row r="20" spans="1:9" x14ac:dyDescent="0.35">
      <c r="A20" t="s">
        <v>12</v>
      </c>
      <c r="B20">
        <v>1004</v>
      </c>
      <c r="C20" s="1">
        <v>45523</v>
      </c>
      <c r="D20" s="1"/>
      <c r="E20" t="s">
        <v>50</v>
      </c>
      <c r="F20" t="s">
        <v>51</v>
      </c>
      <c r="G20" s="1">
        <v>44945</v>
      </c>
      <c r="H20">
        <v>1246.58</v>
      </c>
      <c r="I20" t="s">
        <v>48</v>
      </c>
    </row>
    <row r="21" spans="1:9" x14ac:dyDescent="0.35">
      <c r="A21" t="s">
        <v>12</v>
      </c>
      <c r="B21">
        <v>1006</v>
      </c>
      <c r="C21" s="1">
        <v>45630</v>
      </c>
      <c r="D21" s="1">
        <v>45732</v>
      </c>
      <c r="E21" t="s">
        <v>50</v>
      </c>
      <c r="F21" t="s">
        <v>51</v>
      </c>
      <c r="G21" s="1">
        <v>44945</v>
      </c>
      <c r="H21">
        <v>1246.58</v>
      </c>
      <c r="I21" t="s">
        <v>48</v>
      </c>
    </row>
    <row r="22" spans="1:9" x14ac:dyDescent="0.35">
      <c r="A22" t="s">
        <v>12</v>
      </c>
      <c r="B22">
        <v>1003</v>
      </c>
      <c r="C22" s="1">
        <v>45595</v>
      </c>
      <c r="D22" s="1">
        <v>45630</v>
      </c>
      <c r="E22" t="s">
        <v>50</v>
      </c>
      <c r="F22" t="s">
        <v>51</v>
      </c>
      <c r="G22" s="1">
        <v>44945</v>
      </c>
      <c r="H22">
        <v>1246.58</v>
      </c>
      <c r="I22" t="s">
        <v>48</v>
      </c>
    </row>
    <row r="23" spans="1:9" x14ac:dyDescent="0.35">
      <c r="A23" t="s">
        <v>13</v>
      </c>
      <c r="B23">
        <v>1012</v>
      </c>
      <c r="C23" s="1">
        <v>45419</v>
      </c>
      <c r="D23" s="1">
        <v>45470</v>
      </c>
      <c r="E23" t="s">
        <v>43</v>
      </c>
      <c r="F23" t="s">
        <v>44</v>
      </c>
      <c r="G23" s="1">
        <v>44332</v>
      </c>
      <c r="H23">
        <v>1898.65</v>
      </c>
      <c r="I23" t="s">
        <v>48</v>
      </c>
    </row>
    <row r="24" spans="1:9" x14ac:dyDescent="0.35">
      <c r="A24" t="s">
        <v>13</v>
      </c>
      <c r="B24">
        <v>1009</v>
      </c>
      <c r="C24" s="1">
        <v>45319</v>
      </c>
      <c r="D24" s="1">
        <v>45714</v>
      </c>
      <c r="E24" t="s">
        <v>43</v>
      </c>
      <c r="F24" t="s">
        <v>44</v>
      </c>
      <c r="G24" s="1">
        <v>44332</v>
      </c>
      <c r="H24">
        <v>1898.65</v>
      </c>
      <c r="I24" t="s">
        <v>48</v>
      </c>
    </row>
    <row r="25" spans="1:9" x14ac:dyDescent="0.35">
      <c r="A25" t="s">
        <v>14</v>
      </c>
      <c r="B25">
        <v>1002</v>
      </c>
      <c r="C25" s="1">
        <v>45921</v>
      </c>
      <c r="D25" s="1">
        <v>45934</v>
      </c>
      <c r="E25" t="s">
        <v>41</v>
      </c>
      <c r="F25" t="s">
        <v>47</v>
      </c>
      <c r="G25" s="1">
        <v>44337</v>
      </c>
      <c r="H25">
        <v>1553.15</v>
      </c>
      <c r="I25" t="s">
        <v>48</v>
      </c>
    </row>
    <row r="26" spans="1:9" x14ac:dyDescent="0.35">
      <c r="A26" t="s">
        <v>15</v>
      </c>
      <c r="B26">
        <v>1010</v>
      </c>
      <c r="C26" s="1">
        <v>45377</v>
      </c>
      <c r="D26" s="1">
        <v>45886</v>
      </c>
      <c r="E26" t="s">
        <v>45</v>
      </c>
      <c r="F26" t="s">
        <v>55</v>
      </c>
      <c r="G26" s="1">
        <v>44824</v>
      </c>
      <c r="H26">
        <v>661.44</v>
      </c>
      <c r="I26" t="s">
        <v>38</v>
      </c>
    </row>
    <row r="27" spans="1:9" x14ac:dyDescent="0.35">
      <c r="A27" t="s">
        <v>15</v>
      </c>
      <c r="B27">
        <v>1002</v>
      </c>
      <c r="C27" s="1">
        <v>45519</v>
      </c>
      <c r="D27" s="1"/>
      <c r="E27" t="s">
        <v>45</v>
      </c>
      <c r="F27" t="s">
        <v>55</v>
      </c>
      <c r="G27" s="1">
        <v>44824</v>
      </c>
      <c r="H27">
        <v>661.44</v>
      </c>
      <c r="I27" t="s">
        <v>38</v>
      </c>
    </row>
    <row r="28" spans="1:9" x14ac:dyDescent="0.35">
      <c r="A28" t="s">
        <v>16</v>
      </c>
      <c r="B28">
        <v>1002</v>
      </c>
      <c r="C28" s="1">
        <v>45899</v>
      </c>
      <c r="D28" s="1">
        <v>45930</v>
      </c>
      <c r="E28" t="s">
        <v>33</v>
      </c>
      <c r="F28" t="s">
        <v>40</v>
      </c>
      <c r="G28" s="1">
        <v>45524</v>
      </c>
      <c r="H28">
        <v>1591.98</v>
      </c>
      <c r="I28" t="s">
        <v>48</v>
      </c>
    </row>
    <row r="29" spans="1:9" x14ac:dyDescent="0.35">
      <c r="A29" t="s">
        <v>16</v>
      </c>
      <c r="B29">
        <v>1002</v>
      </c>
      <c r="C29" s="1">
        <v>45493</v>
      </c>
      <c r="D29" s="1">
        <v>45663</v>
      </c>
      <c r="E29" t="s">
        <v>33</v>
      </c>
      <c r="F29" t="s">
        <v>40</v>
      </c>
      <c r="G29" s="1">
        <v>45524</v>
      </c>
      <c r="H29">
        <v>1591.98</v>
      </c>
      <c r="I29" t="s">
        <v>48</v>
      </c>
    </row>
    <row r="30" spans="1:9" x14ac:dyDescent="0.35">
      <c r="A30" t="s">
        <v>17</v>
      </c>
      <c r="B30">
        <v>1011</v>
      </c>
      <c r="C30" s="1">
        <v>45568</v>
      </c>
      <c r="D30" s="1">
        <v>45623</v>
      </c>
      <c r="E30" t="s">
        <v>33</v>
      </c>
      <c r="F30" t="s">
        <v>40</v>
      </c>
      <c r="G30" s="1">
        <v>44839</v>
      </c>
      <c r="H30">
        <v>1688.07</v>
      </c>
      <c r="I30" t="s">
        <v>38</v>
      </c>
    </row>
    <row r="31" spans="1:9" x14ac:dyDescent="0.35">
      <c r="A31" t="s">
        <v>18</v>
      </c>
      <c r="B31">
        <v>1004</v>
      </c>
      <c r="C31" s="1">
        <v>45320</v>
      </c>
      <c r="D31" s="1"/>
      <c r="E31" t="s">
        <v>41</v>
      </c>
      <c r="F31" t="s">
        <v>65</v>
      </c>
      <c r="G31" s="1">
        <v>45775</v>
      </c>
      <c r="H31">
        <v>1095.6199999999999</v>
      </c>
      <c r="I31" t="s">
        <v>38</v>
      </c>
    </row>
    <row r="32" spans="1:9" x14ac:dyDescent="0.35">
      <c r="A32" t="s">
        <v>18</v>
      </c>
      <c r="B32">
        <v>1004</v>
      </c>
      <c r="C32" s="1">
        <v>45336</v>
      </c>
      <c r="D32" s="1"/>
      <c r="E32" t="s">
        <v>41</v>
      </c>
      <c r="F32" t="s">
        <v>65</v>
      </c>
      <c r="G32" s="1">
        <v>45775</v>
      </c>
      <c r="H32">
        <v>1095.6199999999999</v>
      </c>
      <c r="I32" t="s">
        <v>38</v>
      </c>
    </row>
    <row r="33" spans="1:9" x14ac:dyDescent="0.35">
      <c r="A33" t="s">
        <v>19</v>
      </c>
      <c r="B33">
        <v>1004</v>
      </c>
      <c r="C33" s="1">
        <v>45403</v>
      </c>
      <c r="D33" s="1">
        <v>45839</v>
      </c>
      <c r="E33" t="s">
        <v>60</v>
      </c>
      <c r="F33" t="s">
        <v>61</v>
      </c>
      <c r="G33" s="1">
        <v>44766</v>
      </c>
      <c r="H33">
        <v>501.64</v>
      </c>
      <c r="I33" t="s">
        <v>38</v>
      </c>
    </row>
    <row r="34" spans="1:9" x14ac:dyDescent="0.35">
      <c r="A34" t="s">
        <v>20</v>
      </c>
      <c r="B34">
        <v>1012</v>
      </c>
      <c r="C34" s="1">
        <v>45792</v>
      </c>
      <c r="D34" s="1">
        <v>45905</v>
      </c>
      <c r="E34" t="s">
        <v>50</v>
      </c>
      <c r="F34" t="s">
        <v>51</v>
      </c>
      <c r="G34" s="1">
        <v>44647</v>
      </c>
      <c r="H34">
        <v>1629.76</v>
      </c>
      <c r="I34" t="s">
        <v>38</v>
      </c>
    </row>
    <row r="35" spans="1:9" x14ac:dyDescent="0.35">
      <c r="A35" t="s">
        <v>20</v>
      </c>
      <c r="B35">
        <v>1005</v>
      </c>
      <c r="C35" s="1">
        <v>45261</v>
      </c>
      <c r="D35" s="1">
        <v>45559</v>
      </c>
      <c r="E35" t="s">
        <v>50</v>
      </c>
      <c r="F35" t="s">
        <v>51</v>
      </c>
      <c r="G35" s="1">
        <v>44647</v>
      </c>
      <c r="H35">
        <v>1629.76</v>
      </c>
      <c r="I35" t="s">
        <v>38</v>
      </c>
    </row>
    <row r="36" spans="1:9" x14ac:dyDescent="0.35">
      <c r="A36" t="s">
        <v>23</v>
      </c>
      <c r="B36">
        <v>1005</v>
      </c>
      <c r="C36" s="1">
        <v>45675</v>
      </c>
      <c r="D36" s="1"/>
      <c r="E36" t="s">
        <v>50</v>
      </c>
      <c r="F36" t="s">
        <v>51</v>
      </c>
      <c r="G36" s="1">
        <v>45266</v>
      </c>
      <c r="H36">
        <v>545.46</v>
      </c>
      <c r="I36" t="s">
        <v>35</v>
      </c>
    </row>
    <row r="37" spans="1:9" x14ac:dyDescent="0.35">
      <c r="A37" t="s">
        <v>24</v>
      </c>
      <c r="B37">
        <v>1003</v>
      </c>
      <c r="C37" s="1">
        <v>45508</v>
      </c>
      <c r="D37" s="1">
        <v>45871</v>
      </c>
      <c r="E37" t="s">
        <v>41</v>
      </c>
      <c r="F37" t="s">
        <v>47</v>
      </c>
      <c r="G37" s="1">
        <v>44876</v>
      </c>
      <c r="H37">
        <v>1801.36</v>
      </c>
      <c r="I37" t="s">
        <v>38</v>
      </c>
    </row>
    <row r="38" spans="1:9" x14ac:dyDescent="0.35">
      <c r="A38" t="s">
        <v>25</v>
      </c>
      <c r="B38">
        <v>1001</v>
      </c>
      <c r="C38" s="1">
        <v>45622</v>
      </c>
      <c r="D38" s="1">
        <v>45719</v>
      </c>
      <c r="E38" t="s">
        <v>41</v>
      </c>
      <c r="F38" t="s">
        <v>47</v>
      </c>
      <c r="G38" s="1">
        <v>44258</v>
      </c>
      <c r="H38">
        <v>1415.97</v>
      </c>
      <c r="I38" t="s">
        <v>48</v>
      </c>
    </row>
    <row r="39" spans="1:9" x14ac:dyDescent="0.35">
      <c r="A39" t="s">
        <v>4</v>
      </c>
      <c r="B39">
        <v>1001</v>
      </c>
      <c r="C39" s="1">
        <v>45641</v>
      </c>
      <c r="D39" s="1"/>
      <c r="E39" t="s">
        <v>50</v>
      </c>
      <c r="F39" t="s">
        <v>66</v>
      </c>
      <c r="G39" s="1">
        <v>45294</v>
      </c>
      <c r="H39">
        <v>644.54</v>
      </c>
      <c r="I39" t="s">
        <v>35</v>
      </c>
    </row>
    <row r="40" spans="1:9" x14ac:dyDescent="0.35">
      <c r="A40" t="s">
        <v>22</v>
      </c>
      <c r="B40">
        <v>1001</v>
      </c>
      <c r="C40" s="1">
        <v>45880</v>
      </c>
      <c r="D40" s="1">
        <v>45881</v>
      </c>
      <c r="E40" t="s">
        <v>41</v>
      </c>
      <c r="F40" t="s">
        <v>42</v>
      </c>
      <c r="G40" s="1">
        <v>45782</v>
      </c>
      <c r="H40">
        <v>1007.88</v>
      </c>
      <c r="I40" t="s">
        <v>38</v>
      </c>
    </row>
    <row r="41" spans="1:9" x14ac:dyDescent="0.35">
      <c r="A41" t="s">
        <v>26</v>
      </c>
      <c r="B41">
        <v>1009</v>
      </c>
      <c r="C41" s="1">
        <v>45740</v>
      </c>
      <c r="D41" s="1">
        <v>45784</v>
      </c>
      <c r="E41" t="s">
        <v>50</v>
      </c>
      <c r="F41" t="s">
        <v>66</v>
      </c>
      <c r="G41" s="1">
        <v>44623</v>
      </c>
      <c r="H41">
        <v>1212.29</v>
      </c>
      <c r="I41" t="s">
        <v>35</v>
      </c>
    </row>
    <row r="42" spans="1:9" x14ac:dyDescent="0.35">
      <c r="A42" t="s">
        <v>26</v>
      </c>
      <c r="B42">
        <v>1002</v>
      </c>
      <c r="C42" s="1">
        <v>45741</v>
      </c>
      <c r="D42" s="1"/>
      <c r="E42" t="s">
        <v>50</v>
      </c>
      <c r="F42" t="s">
        <v>66</v>
      </c>
      <c r="G42" s="1">
        <v>44623</v>
      </c>
      <c r="H42">
        <v>1212.29</v>
      </c>
      <c r="I42" t="s">
        <v>35</v>
      </c>
    </row>
    <row r="43" spans="1:9" x14ac:dyDescent="0.35">
      <c r="A43" t="s">
        <v>9</v>
      </c>
      <c r="B43">
        <v>1010</v>
      </c>
      <c r="C43" s="1">
        <v>45899</v>
      </c>
      <c r="D43" s="1">
        <v>45925</v>
      </c>
      <c r="E43" t="s">
        <v>43</v>
      </c>
      <c r="F43" t="s">
        <v>44</v>
      </c>
      <c r="G43" s="1">
        <v>44503</v>
      </c>
      <c r="H43">
        <v>823.23</v>
      </c>
      <c r="I43" t="s">
        <v>35</v>
      </c>
    </row>
    <row r="44" spans="1:9" x14ac:dyDescent="0.35">
      <c r="A44" t="s">
        <v>7</v>
      </c>
      <c r="B44">
        <v>1007</v>
      </c>
      <c r="C44" s="1">
        <v>45795</v>
      </c>
      <c r="D44" s="1">
        <v>45846</v>
      </c>
      <c r="E44" t="s">
        <v>43</v>
      </c>
      <c r="F44" t="s">
        <v>44</v>
      </c>
      <c r="G44" s="1">
        <v>45015</v>
      </c>
      <c r="H44">
        <v>1501.06</v>
      </c>
      <c r="I44" t="s">
        <v>35</v>
      </c>
    </row>
    <row r="45" spans="1:9" x14ac:dyDescent="0.35">
      <c r="A45" t="s">
        <v>7</v>
      </c>
      <c r="B45">
        <v>1010</v>
      </c>
      <c r="C45" s="1">
        <v>45808</v>
      </c>
      <c r="D45" s="1">
        <v>45932</v>
      </c>
      <c r="E45" t="s">
        <v>43</v>
      </c>
      <c r="F45" t="s">
        <v>44</v>
      </c>
      <c r="G45" s="1">
        <v>45015</v>
      </c>
      <c r="H45">
        <v>1501.06</v>
      </c>
      <c r="I45" t="s">
        <v>35</v>
      </c>
    </row>
    <row r="46" spans="1:9" x14ac:dyDescent="0.35">
      <c r="A46" t="s">
        <v>8</v>
      </c>
      <c r="B46">
        <v>1007</v>
      </c>
      <c r="C46" s="1">
        <v>45476</v>
      </c>
      <c r="D46" s="1"/>
      <c r="E46" t="s">
        <v>45</v>
      </c>
      <c r="F46" t="s">
        <v>46</v>
      </c>
      <c r="G46" s="1">
        <v>45292</v>
      </c>
      <c r="H46">
        <v>1257.96</v>
      </c>
      <c r="I46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DD28-4621-43F3-B796-4389B476CC05}">
  <dimension ref="A1:D13"/>
  <sheetViews>
    <sheetView workbookViewId="0"/>
  </sheetViews>
  <sheetFormatPr baseColWidth="10" defaultColWidth="8.90625" defaultRowHeight="14.5" x14ac:dyDescent="0.35"/>
  <cols>
    <col min="1" max="1" width="15.1796875" bestFit="1" customWidth="1"/>
    <col min="2" max="2" width="31.7265625" bestFit="1" customWidth="1"/>
    <col min="3" max="3" width="11.08984375" bestFit="1" customWidth="1"/>
    <col min="4" max="4" width="10.453125" bestFit="1" customWidth="1"/>
  </cols>
  <sheetData>
    <row r="1" spans="1:4" x14ac:dyDescent="0.35">
      <c r="A1" t="s">
        <v>1</v>
      </c>
      <c r="B1" t="s">
        <v>68</v>
      </c>
      <c r="C1" t="s">
        <v>69</v>
      </c>
      <c r="D1" t="s">
        <v>31</v>
      </c>
    </row>
    <row r="2" spans="1:4" x14ac:dyDescent="0.35">
      <c r="A2">
        <v>1001</v>
      </c>
      <c r="B2" t="s">
        <v>70</v>
      </c>
      <c r="C2" t="s">
        <v>71</v>
      </c>
      <c r="D2" t="s">
        <v>35</v>
      </c>
    </row>
    <row r="3" spans="1:4" x14ac:dyDescent="0.35">
      <c r="A3">
        <v>1002</v>
      </c>
      <c r="B3" t="s">
        <v>72</v>
      </c>
      <c r="C3" t="s">
        <v>71</v>
      </c>
      <c r="D3" t="s">
        <v>35</v>
      </c>
    </row>
    <row r="4" spans="1:4" x14ac:dyDescent="0.35">
      <c r="A4">
        <v>1003</v>
      </c>
      <c r="B4" t="s">
        <v>73</v>
      </c>
      <c r="C4" t="s">
        <v>74</v>
      </c>
      <c r="D4" t="s">
        <v>48</v>
      </c>
    </row>
    <row r="5" spans="1:4" x14ac:dyDescent="0.35">
      <c r="A5">
        <v>1004</v>
      </c>
      <c r="B5" t="s">
        <v>75</v>
      </c>
      <c r="C5" t="s">
        <v>76</v>
      </c>
      <c r="D5" t="s">
        <v>48</v>
      </c>
    </row>
    <row r="6" spans="1:4" x14ac:dyDescent="0.35">
      <c r="A6">
        <v>1005</v>
      </c>
      <c r="B6" t="s">
        <v>77</v>
      </c>
      <c r="C6" t="s">
        <v>76</v>
      </c>
      <c r="D6" t="s">
        <v>35</v>
      </c>
    </row>
    <row r="7" spans="1:4" x14ac:dyDescent="0.35">
      <c r="A7">
        <v>1006</v>
      </c>
      <c r="B7" t="s">
        <v>78</v>
      </c>
      <c r="C7" t="s">
        <v>76</v>
      </c>
      <c r="D7" t="s">
        <v>48</v>
      </c>
    </row>
    <row r="8" spans="1:4" x14ac:dyDescent="0.35">
      <c r="A8">
        <v>1007</v>
      </c>
      <c r="B8" t="s">
        <v>79</v>
      </c>
      <c r="C8" t="s">
        <v>71</v>
      </c>
      <c r="D8" t="s">
        <v>35</v>
      </c>
    </row>
    <row r="9" spans="1:4" x14ac:dyDescent="0.35">
      <c r="A9">
        <v>1008</v>
      </c>
      <c r="B9" t="s">
        <v>80</v>
      </c>
      <c r="C9" t="s">
        <v>71</v>
      </c>
      <c r="D9" t="s">
        <v>48</v>
      </c>
    </row>
    <row r="10" spans="1:4" x14ac:dyDescent="0.35">
      <c r="A10">
        <v>1009</v>
      </c>
      <c r="B10" t="s">
        <v>81</v>
      </c>
      <c r="C10" t="s">
        <v>82</v>
      </c>
      <c r="D10" t="s">
        <v>48</v>
      </c>
    </row>
    <row r="11" spans="1:4" x14ac:dyDescent="0.35">
      <c r="A11">
        <v>1010</v>
      </c>
      <c r="B11" t="s">
        <v>83</v>
      </c>
      <c r="C11" t="s">
        <v>71</v>
      </c>
      <c r="D11" t="s">
        <v>48</v>
      </c>
    </row>
    <row r="12" spans="1:4" x14ac:dyDescent="0.35">
      <c r="A12">
        <v>1011</v>
      </c>
      <c r="B12" t="s">
        <v>84</v>
      </c>
      <c r="C12" t="s">
        <v>71</v>
      </c>
      <c r="D12" t="s">
        <v>48</v>
      </c>
    </row>
    <row r="13" spans="1:4" x14ac:dyDescent="0.35">
      <c r="A13">
        <v>1012</v>
      </c>
      <c r="B13" t="s">
        <v>85</v>
      </c>
      <c r="C13" t="s">
        <v>71</v>
      </c>
      <c r="D13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1305-0D7C-4C89-83E4-3ACFEC557A75}">
  <dimension ref="A1:F36"/>
  <sheetViews>
    <sheetView workbookViewId="0">
      <selection activeCell="E2" sqref="E2"/>
    </sheetView>
  </sheetViews>
  <sheetFormatPr baseColWidth="10" defaultColWidth="8.90625" defaultRowHeight="14.5" x14ac:dyDescent="0.35"/>
  <cols>
    <col min="1" max="1" width="16" bestFit="1" customWidth="1"/>
    <col min="2" max="2" width="11.54296875" bestFit="1" customWidth="1"/>
    <col min="3" max="3" width="14.90625" bestFit="1" customWidth="1"/>
    <col min="4" max="4" width="12.453125" bestFit="1" customWidth="1"/>
    <col min="5" max="5" width="16.453125" bestFit="1" customWidth="1"/>
    <col min="6" max="6" width="10.453125" bestFit="1" customWidth="1"/>
  </cols>
  <sheetData>
    <row r="1" spans="1:6" x14ac:dyDescent="0.3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32</v>
      </c>
      <c r="B2" t="s">
        <v>33</v>
      </c>
      <c r="C2" t="s">
        <v>34</v>
      </c>
      <c r="D2" s="1">
        <v>44937</v>
      </c>
      <c r="E2">
        <v>1342.83</v>
      </c>
      <c r="F2" t="s">
        <v>35</v>
      </c>
    </row>
    <row r="3" spans="1:6" x14ac:dyDescent="0.35">
      <c r="A3" t="s">
        <v>36</v>
      </c>
      <c r="B3" t="s">
        <v>33</v>
      </c>
      <c r="C3" t="s">
        <v>37</v>
      </c>
      <c r="D3" s="1">
        <v>44250</v>
      </c>
      <c r="E3">
        <v>1076.18</v>
      </c>
      <c r="F3" t="s">
        <v>38</v>
      </c>
    </row>
    <row r="4" spans="1:6" x14ac:dyDescent="0.35">
      <c r="A4" t="s">
        <v>39</v>
      </c>
      <c r="B4" t="s">
        <v>33</v>
      </c>
      <c r="C4" t="s">
        <v>40</v>
      </c>
      <c r="D4" s="1">
        <v>45543</v>
      </c>
      <c r="E4">
        <v>1931.54</v>
      </c>
      <c r="F4" t="s">
        <v>38</v>
      </c>
    </row>
    <row r="5" spans="1:6" x14ac:dyDescent="0.35">
      <c r="A5" t="s">
        <v>22</v>
      </c>
      <c r="B5" t="s">
        <v>41</v>
      </c>
      <c r="C5" t="s">
        <v>42</v>
      </c>
      <c r="D5" s="1">
        <v>45782</v>
      </c>
      <c r="E5">
        <v>1007.88</v>
      </c>
      <c r="F5" t="s">
        <v>38</v>
      </c>
    </row>
    <row r="6" spans="1:6" x14ac:dyDescent="0.35">
      <c r="A6" t="s">
        <v>9</v>
      </c>
      <c r="B6" t="s">
        <v>43</v>
      </c>
      <c r="C6" t="s">
        <v>44</v>
      </c>
      <c r="D6" s="1">
        <v>44503</v>
      </c>
      <c r="E6">
        <v>823.23</v>
      </c>
      <c r="F6" t="s">
        <v>35</v>
      </c>
    </row>
    <row r="7" spans="1:6" x14ac:dyDescent="0.35">
      <c r="A7" t="s">
        <v>8</v>
      </c>
      <c r="B7" t="s">
        <v>45</v>
      </c>
      <c r="C7" t="s">
        <v>46</v>
      </c>
      <c r="D7" s="1">
        <v>45292</v>
      </c>
      <c r="E7">
        <v>1257.96</v>
      </c>
      <c r="F7" t="s">
        <v>38</v>
      </c>
    </row>
    <row r="8" spans="1:6" x14ac:dyDescent="0.35">
      <c r="A8" t="s">
        <v>21</v>
      </c>
      <c r="B8" t="s">
        <v>41</v>
      </c>
      <c r="C8" t="s">
        <v>47</v>
      </c>
      <c r="D8" s="1">
        <v>44360</v>
      </c>
      <c r="E8">
        <v>869.09</v>
      </c>
      <c r="F8" t="s">
        <v>48</v>
      </c>
    </row>
    <row r="9" spans="1:6" x14ac:dyDescent="0.35">
      <c r="A9" t="s">
        <v>49</v>
      </c>
      <c r="B9" t="s">
        <v>50</v>
      </c>
      <c r="C9" t="s">
        <v>51</v>
      </c>
      <c r="D9" s="1">
        <v>45831</v>
      </c>
      <c r="E9">
        <v>1323.76</v>
      </c>
      <c r="F9" t="s">
        <v>48</v>
      </c>
    </row>
    <row r="10" spans="1:6" x14ac:dyDescent="0.35">
      <c r="A10" t="s">
        <v>10</v>
      </c>
      <c r="B10" t="s">
        <v>41</v>
      </c>
      <c r="C10" t="s">
        <v>42</v>
      </c>
      <c r="D10" s="1">
        <v>45026</v>
      </c>
      <c r="E10">
        <v>1458.02</v>
      </c>
      <c r="F10" t="s">
        <v>38</v>
      </c>
    </row>
    <row r="11" spans="1:6" x14ac:dyDescent="0.35">
      <c r="A11" t="s">
        <v>52</v>
      </c>
      <c r="B11" t="s">
        <v>41</v>
      </c>
      <c r="C11" t="s">
        <v>42</v>
      </c>
      <c r="D11" s="1">
        <v>45239</v>
      </c>
      <c r="E11">
        <v>1786.37</v>
      </c>
      <c r="F11" t="s">
        <v>38</v>
      </c>
    </row>
    <row r="12" spans="1:6" x14ac:dyDescent="0.35">
      <c r="A12" t="s">
        <v>11</v>
      </c>
      <c r="B12" t="s">
        <v>43</v>
      </c>
      <c r="C12" t="s">
        <v>53</v>
      </c>
      <c r="D12" s="1">
        <v>45909</v>
      </c>
      <c r="E12">
        <v>1417.1</v>
      </c>
      <c r="F12" t="s">
        <v>38</v>
      </c>
    </row>
    <row r="13" spans="1:6" x14ac:dyDescent="0.35">
      <c r="A13" t="s">
        <v>54</v>
      </c>
      <c r="B13" t="s">
        <v>33</v>
      </c>
      <c r="C13" t="s">
        <v>34</v>
      </c>
      <c r="D13" s="1">
        <v>44713</v>
      </c>
      <c r="E13">
        <v>968.43</v>
      </c>
      <c r="F13" t="s">
        <v>48</v>
      </c>
    </row>
    <row r="14" spans="1:6" x14ac:dyDescent="0.35">
      <c r="A14" t="s">
        <v>13</v>
      </c>
      <c r="B14" t="s">
        <v>43</v>
      </c>
      <c r="C14" t="s">
        <v>44</v>
      </c>
      <c r="D14" s="1">
        <v>44332</v>
      </c>
      <c r="E14">
        <v>1898.65</v>
      </c>
      <c r="F14" t="s">
        <v>48</v>
      </c>
    </row>
    <row r="15" spans="1:6" x14ac:dyDescent="0.35">
      <c r="A15" t="s">
        <v>25</v>
      </c>
      <c r="B15" t="s">
        <v>41</v>
      </c>
      <c r="C15" t="s">
        <v>47</v>
      </c>
      <c r="D15" s="1">
        <v>44258</v>
      </c>
      <c r="E15">
        <v>1415.97</v>
      </c>
      <c r="F15" t="s">
        <v>48</v>
      </c>
    </row>
    <row r="16" spans="1:6" x14ac:dyDescent="0.35">
      <c r="A16" t="s">
        <v>15</v>
      </c>
      <c r="B16" t="s">
        <v>45</v>
      </c>
      <c r="C16" t="s">
        <v>55</v>
      </c>
      <c r="D16" s="1">
        <v>44824</v>
      </c>
      <c r="E16">
        <v>661.44</v>
      </c>
      <c r="F16" t="s">
        <v>38</v>
      </c>
    </row>
    <row r="17" spans="1:6" x14ac:dyDescent="0.35">
      <c r="A17" t="s">
        <v>7</v>
      </c>
      <c r="B17" t="s">
        <v>43</v>
      </c>
      <c r="C17" t="s">
        <v>44</v>
      </c>
      <c r="D17" s="1">
        <v>45015</v>
      </c>
      <c r="E17">
        <v>1501.06</v>
      </c>
      <c r="F17" t="s">
        <v>35</v>
      </c>
    </row>
    <row r="18" spans="1:6" x14ac:dyDescent="0.35">
      <c r="A18" t="s">
        <v>56</v>
      </c>
      <c r="B18" t="s">
        <v>45</v>
      </c>
      <c r="C18" t="s">
        <v>46</v>
      </c>
      <c r="D18" s="1">
        <v>44363</v>
      </c>
      <c r="E18">
        <v>1748.56</v>
      </c>
      <c r="F18" t="s">
        <v>35</v>
      </c>
    </row>
    <row r="19" spans="1:6" x14ac:dyDescent="0.35">
      <c r="A19" t="s">
        <v>17</v>
      </c>
      <c r="B19" t="s">
        <v>33</v>
      </c>
      <c r="C19" t="s">
        <v>40</v>
      </c>
      <c r="D19" s="1">
        <v>44839</v>
      </c>
      <c r="E19">
        <v>1688.07</v>
      </c>
      <c r="F19" t="s">
        <v>38</v>
      </c>
    </row>
    <row r="20" spans="1:6" x14ac:dyDescent="0.35">
      <c r="A20" t="s">
        <v>57</v>
      </c>
      <c r="B20" t="s">
        <v>43</v>
      </c>
      <c r="C20" t="s">
        <v>58</v>
      </c>
      <c r="D20" s="1">
        <v>44429</v>
      </c>
      <c r="E20">
        <v>737.57</v>
      </c>
      <c r="F20" t="s">
        <v>48</v>
      </c>
    </row>
    <row r="21" spans="1:6" x14ac:dyDescent="0.35">
      <c r="A21" t="s">
        <v>59</v>
      </c>
      <c r="B21" t="s">
        <v>45</v>
      </c>
      <c r="C21" t="s">
        <v>46</v>
      </c>
      <c r="D21" s="1">
        <v>45297</v>
      </c>
      <c r="E21">
        <v>740.2</v>
      </c>
      <c r="F21" t="s">
        <v>38</v>
      </c>
    </row>
    <row r="22" spans="1:6" x14ac:dyDescent="0.35">
      <c r="A22" t="s">
        <v>5</v>
      </c>
      <c r="B22" t="s">
        <v>60</v>
      </c>
      <c r="C22" t="s">
        <v>61</v>
      </c>
      <c r="D22" s="1">
        <v>44979</v>
      </c>
      <c r="E22">
        <v>1134.1600000000001</v>
      </c>
      <c r="F22" t="s">
        <v>38</v>
      </c>
    </row>
    <row r="23" spans="1:6" x14ac:dyDescent="0.35">
      <c r="A23" t="s">
        <v>16</v>
      </c>
      <c r="B23" t="s">
        <v>33</v>
      </c>
      <c r="C23" t="s">
        <v>40</v>
      </c>
      <c r="D23" s="1">
        <v>45524</v>
      </c>
      <c r="E23">
        <v>1591.98</v>
      </c>
      <c r="F23" t="s">
        <v>48</v>
      </c>
    </row>
    <row r="24" spans="1:6" x14ac:dyDescent="0.35">
      <c r="A24" t="s">
        <v>62</v>
      </c>
      <c r="B24" t="s">
        <v>43</v>
      </c>
      <c r="C24" t="s">
        <v>44</v>
      </c>
      <c r="D24" s="1">
        <v>45249</v>
      </c>
      <c r="E24">
        <v>1335.34</v>
      </c>
      <c r="F24" t="s">
        <v>48</v>
      </c>
    </row>
    <row r="25" spans="1:6" x14ac:dyDescent="0.35">
      <c r="A25" t="s">
        <v>6</v>
      </c>
      <c r="B25" t="s">
        <v>60</v>
      </c>
      <c r="C25" t="s">
        <v>63</v>
      </c>
      <c r="D25" s="1">
        <v>44621</v>
      </c>
      <c r="E25">
        <v>750.91</v>
      </c>
      <c r="F25" t="s">
        <v>35</v>
      </c>
    </row>
    <row r="26" spans="1:6" x14ac:dyDescent="0.35">
      <c r="A26" t="s">
        <v>23</v>
      </c>
      <c r="B26" t="s">
        <v>50</v>
      </c>
      <c r="C26" t="s">
        <v>51</v>
      </c>
      <c r="D26" s="1">
        <v>45266</v>
      </c>
      <c r="E26">
        <v>545.46</v>
      </c>
      <c r="F26" t="s">
        <v>35</v>
      </c>
    </row>
    <row r="27" spans="1:6" x14ac:dyDescent="0.35">
      <c r="A27" t="s">
        <v>64</v>
      </c>
      <c r="B27" t="s">
        <v>41</v>
      </c>
      <c r="C27" t="s">
        <v>42</v>
      </c>
      <c r="D27" s="1">
        <v>45219</v>
      </c>
      <c r="E27">
        <v>1403.91</v>
      </c>
      <c r="F27" t="s">
        <v>48</v>
      </c>
    </row>
    <row r="28" spans="1:6" x14ac:dyDescent="0.35">
      <c r="A28" t="s">
        <v>19</v>
      </c>
      <c r="B28" t="s">
        <v>60</v>
      </c>
      <c r="C28" t="s">
        <v>61</v>
      </c>
      <c r="D28" s="1">
        <v>44766</v>
      </c>
      <c r="E28">
        <v>501.64</v>
      </c>
      <c r="F28" t="s">
        <v>38</v>
      </c>
    </row>
    <row r="29" spans="1:6" x14ac:dyDescent="0.35">
      <c r="A29" t="s">
        <v>12</v>
      </c>
      <c r="B29" t="s">
        <v>50</v>
      </c>
      <c r="C29" t="s">
        <v>51</v>
      </c>
      <c r="D29" s="1">
        <v>44945</v>
      </c>
      <c r="E29">
        <v>1246.58</v>
      </c>
      <c r="F29" t="s">
        <v>48</v>
      </c>
    </row>
    <row r="30" spans="1:6" x14ac:dyDescent="0.35">
      <c r="A30" t="s">
        <v>14</v>
      </c>
      <c r="B30" t="s">
        <v>41</v>
      </c>
      <c r="C30" t="s">
        <v>47</v>
      </c>
      <c r="D30" s="1">
        <v>44337</v>
      </c>
      <c r="E30">
        <v>1553.15</v>
      </c>
      <c r="F30" t="s">
        <v>48</v>
      </c>
    </row>
    <row r="31" spans="1:6" x14ac:dyDescent="0.35">
      <c r="A31" t="s">
        <v>20</v>
      </c>
      <c r="B31" t="s">
        <v>50</v>
      </c>
      <c r="C31" t="s">
        <v>51</v>
      </c>
      <c r="D31" s="1">
        <v>44647</v>
      </c>
      <c r="E31">
        <v>1629.76</v>
      </c>
      <c r="F31" t="s">
        <v>38</v>
      </c>
    </row>
    <row r="32" spans="1:6" x14ac:dyDescent="0.35">
      <c r="A32" t="s">
        <v>18</v>
      </c>
      <c r="B32" t="s">
        <v>41</v>
      </c>
      <c r="C32" t="s">
        <v>65</v>
      </c>
      <c r="D32" s="1">
        <v>45775</v>
      </c>
      <c r="E32">
        <v>1095.6199999999999</v>
      </c>
      <c r="F32" t="s">
        <v>38</v>
      </c>
    </row>
    <row r="33" spans="1:6" x14ac:dyDescent="0.35">
      <c r="A33" t="s">
        <v>24</v>
      </c>
      <c r="B33" t="s">
        <v>41</v>
      </c>
      <c r="C33" t="s">
        <v>47</v>
      </c>
      <c r="D33" s="1">
        <v>44876</v>
      </c>
      <c r="E33">
        <v>1801.36</v>
      </c>
      <c r="F33" t="s">
        <v>38</v>
      </c>
    </row>
    <row r="34" spans="1:6" x14ac:dyDescent="0.35">
      <c r="A34" t="s">
        <v>26</v>
      </c>
      <c r="B34" t="s">
        <v>50</v>
      </c>
      <c r="C34" t="s">
        <v>66</v>
      </c>
      <c r="D34" s="1">
        <v>44623</v>
      </c>
      <c r="E34">
        <v>1212.29</v>
      </c>
      <c r="F34" t="s">
        <v>35</v>
      </c>
    </row>
    <row r="35" spans="1:6" x14ac:dyDescent="0.35">
      <c r="A35" t="s">
        <v>67</v>
      </c>
      <c r="B35" t="s">
        <v>45</v>
      </c>
      <c r="C35" t="s">
        <v>46</v>
      </c>
      <c r="D35" s="1">
        <v>45552</v>
      </c>
      <c r="E35">
        <v>1746.67</v>
      </c>
      <c r="F35" t="s">
        <v>48</v>
      </c>
    </row>
    <row r="36" spans="1:6" x14ac:dyDescent="0.35">
      <c r="A36" t="s">
        <v>4</v>
      </c>
      <c r="B36" t="s">
        <v>50</v>
      </c>
      <c r="C36" t="s">
        <v>66</v>
      </c>
      <c r="D36" s="1">
        <v>45294</v>
      </c>
      <c r="E36">
        <v>644.54</v>
      </c>
      <c r="F36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15DC-0B7D-4E3D-BB96-0C92766BB4F4}">
  <dimension ref="A1:D46"/>
  <sheetViews>
    <sheetView workbookViewId="0">
      <selection sqref="A1:D46"/>
    </sheetView>
  </sheetViews>
  <sheetFormatPr baseColWidth="10" defaultColWidth="8.90625" defaultRowHeight="14.5" x14ac:dyDescent="0.35"/>
  <cols>
    <col min="1" max="1" width="16" bestFit="1" customWidth="1"/>
    <col min="2" max="2" width="15.1796875" bestFit="1" customWidth="1"/>
    <col min="3" max="3" width="13.26953125" bestFit="1" customWidth="1"/>
    <col min="4" max="4" width="14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1009</v>
      </c>
      <c r="C2" s="1">
        <v>45421</v>
      </c>
      <c r="D2" s="1"/>
    </row>
    <row r="3" spans="1:4" x14ac:dyDescent="0.35">
      <c r="A3" t="s">
        <v>5</v>
      </c>
      <c r="B3">
        <v>1008</v>
      </c>
      <c r="C3" s="1">
        <v>45930</v>
      </c>
      <c r="D3" s="1">
        <v>45935</v>
      </c>
    </row>
    <row r="4" spans="1:4" x14ac:dyDescent="0.35">
      <c r="A4" t="s">
        <v>6</v>
      </c>
      <c r="B4">
        <v>1005</v>
      </c>
      <c r="C4" s="1">
        <v>45743</v>
      </c>
      <c r="D4" s="1">
        <v>45868</v>
      </c>
    </row>
    <row r="5" spans="1:4" x14ac:dyDescent="0.35">
      <c r="A5" t="s">
        <v>7</v>
      </c>
      <c r="B5">
        <v>1010</v>
      </c>
      <c r="C5" s="1">
        <v>45866</v>
      </c>
      <c r="D5" s="1"/>
    </row>
    <row r="6" spans="1:4" x14ac:dyDescent="0.35">
      <c r="A6" t="s">
        <v>8</v>
      </c>
      <c r="B6">
        <v>1012</v>
      </c>
      <c r="C6" s="1">
        <v>45808</v>
      </c>
      <c r="D6" s="1">
        <v>45818</v>
      </c>
    </row>
    <row r="7" spans="1:4" x14ac:dyDescent="0.35">
      <c r="A7" t="s">
        <v>9</v>
      </c>
      <c r="B7">
        <v>1009</v>
      </c>
      <c r="C7" s="1">
        <v>45389</v>
      </c>
      <c r="D7" s="1"/>
    </row>
    <row r="8" spans="1:4" x14ac:dyDescent="0.35">
      <c r="A8" t="s">
        <v>10</v>
      </c>
      <c r="B8">
        <v>1011</v>
      </c>
      <c r="C8" s="1">
        <v>45850</v>
      </c>
      <c r="D8" s="1">
        <v>45853</v>
      </c>
    </row>
    <row r="9" spans="1:4" x14ac:dyDescent="0.35">
      <c r="A9" t="s">
        <v>11</v>
      </c>
      <c r="B9">
        <v>1005</v>
      </c>
      <c r="C9" s="1">
        <v>45837</v>
      </c>
      <c r="D9" s="1">
        <v>45898</v>
      </c>
    </row>
    <row r="10" spans="1:4" x14ac:dyDescent="0.35">
      <c r="A10" t="s">
        <v>12</v>
      </c>
      <c r="B10">
        <v>1004</v>
      </c>
      <c r="C10" s="1">
        <v>45523</v>
      </c>
      <c r="D10" s="1"/>
    </row>
    <row r="11" spans="1:4" x14ac:dyDescent="0.35">
      <c r="A11" t="s">
        <v>13</v>
      </c>
      <c r="B11">
        <v>1012</v>
      </c>
      <c r="C11" s="1">
        <v>45419</v>
      </c>
      <c r="D11" s="1">
        <v>45470</v>
      </c>
    </row>
    <row r="12" spans="1:4" x14ac:dyDescent="0.35">
      <c r="A12" t="s">
        <v>6</v>
      </c>
      <c r="B12">
        <v>1008</v>
      </c>
      <c r="C12" s="1">
        <v>45375</v>
      </c>
      <c r="D12" s="1"/>
    </row>
    <row r="13" spans="1:4" x14ac:dyDescent="0.35">
      <c r="A13" t="s">
        <v>14</v>
      </c>
      <c r="B13">
        <v>1002</v>
      </c>
      <c r="C13" s="1">
        <v>45921</v>
      </c>
      <c r="D13" s="1">
        <v>45934</v>
      </c>
    </row>
    <row r="14" spans="1:4" x14ac:dyDescent="0.35">
      <c r="A14" t="s">
        <v>9</v>
      </c>
      <c r="B14">
        <v>1006</v>
      </c>
      <c r="C14" s="1">
        <v>45892</v>
      </c>
      <c r="D14" s="1">
        <v>45922</v>
      </c>
    </row>
    <row r="15" spans="1:4" x14ac:dyDescent="0.35">
      <c r="A15" t="s">
        <v>15</v>
      </c>
      <c r="B15">
        <v>1010</v>
      </c>
      <c r="C15" s="1">
        <v>45377</v>
      </c>
      <c r="D15" s="1">
        <v>45886</v>
      </c>
    </row>
    <row r="16" spans="1:4" x14ac:dyDescent="0.35">
      <c r="A16" t="s">
        <v>9</v>
      </c>
      <c r="B16">
        <v>1012</v>
      </c>
      <c r="C16" s="1">
        <v>45599</v>
      </c>
      <c r="D16" s="1"/>
    </row>
    <row r="17" spans="1:4" x14ac:dyDescent="0.35">
      <c r="A17" t="s">
        <v>15</v>
      </c>
      <c r="B17">
        <v>1002</v>
      </c>
      <c r="C17" s="1">
        <v>45519</v>
      </c>
      <c r="D17" s="1"/>
    </row>
    <row r="18" spans="1:4" x14ac:dyDescent="0.35">
      <c r="A18" t="s">
        <v>16</v>
      </c>
      <c r="B18">
        <v>1002</v>
      </c>
      <c r="C18" s="1">
        <v>45899</v>
      </c>
      <c r="D18" s="1">
        <v>45930</v>
      </c>
    </row>
    <row r="19" spans="1:4" x14ac:dyDescent="0.35">
      <c r="A19" t="s">
        <v>17</v>
      </c>
      <c r="B19">
        <v>1011</v>
      </c>
      <c r="C19" s="1">
        <v>45568</v>
      </c>
      <c r="D19" s="1">
        <v>45623</v>
      </c>
    </row>
    <row r="20" spans="1:4" x14ac:dyDescent="0.35">
      <c r="A20" t="s">
        <v>4</v>
      </c>
      <c r="B20">
        <v>1003</v>
      </c>
      <c r="C20" s="1">
        <v>45417</v>
      </c>
      <c r="D20" s="1"/>
    </row>
    <row r="21" spans="1:4" x14ac:dyDescent="0.35">
      <c r="A21" t="s">
        <v>18</v>
      </c>
      <c r="B21">
        <v>1004</v>
      </c>
      <c r="C21" s="1">
        <v>45320</v>
      </c>
      <c r="D21" s="1"/>
    </row>
    <row r="22" spans="1:4" x14ac:dyDescent="0.35">
      <c r="A22" t="s">
        <v>19</v>
      </c>
      <c r="B22">
        <v>1004</v>
      </c>
      <c r="C22" s="1">
        <v>45403</v>
      </c>
      <c r="D22" s="1">
        <v>45839</v>
      </c>
    </row>
    <row r="23" spans="1:4" x14ac:dyDescent="0.35">
      <c r="A23" t="s">
        <v>12</v>
      </c>
      <c r="B23">
        <v>1006</v>
      </c>
      <c r="C23" s="1">
        <v>45630</v>
      </c>
      <c r="D23" s="1">
        <v>45732</v>
      </c>
    </row>
    <row r="24" spans="1:4" x14ac:dyDescent="0.35">
      <c r="A24" t="s">
        <v>20</v>
      </c>
      <c r="B24">
        <v>1012</v>
      </c>
      <c r="C24" s="1">
        <v>45792</v>
      </c>
      <c r="D24" s="1">
        <v>45905</v>
      </c>
    </row>
    <row r="25" spans="1:4" x14ac:dyDescent="0.35">
      <c r="A25" t="s">
        <v>21</v>
      </c>
      <c r="B25">
        <v>1001</v>
      </c>
      <c r="C25" s="1">
        <v>45544</v>
      </c>
      <c r="D25" s="1">
        <v>45854</v>
      </c>
    </row>
    <row r="26" spans="1:4" x14ac:dyDescent="0.35">
      <c r="A26" t="s">
        <v>16</v>
      </c>
      <c r="B26">
        <v>1002</v>
      </c>
      <c r="C26" s="1">
        <v>45493</v>
      </c>
      <c r="D26" s="1">
        <v>45663</v>
      </c>
    </row>
    <row r="27" spans="1:4" x14ac:dyDescent="0.35">
      <c r="A27" t="s">
        <v>13</v>
      </c>
      <c r="B27">
        <v>1009</v>
      </c>
      <c r="C27" s="1">
        <v>45319</v>
      </c>
      <c r="D27" s="1">
        <v>45714</v>
      </c>
    </row>
    <row r="28" spans="1:4" x14ac:dyDescent="0.35">
      <c r="A28" t="s">
        <v>12</v>
      </c>
      <c r="B28">
        <v>1003</v>
      </c>
      <c r="C28" s="1">
        <v>45595</v>
      </c>
      <c r="D28" s="1">
        <v>45630</v>
      </c>
    </row>
    <row r="29" spans="1:4" x14ac:dyDescent="0.35">
      <c r="A29" t="s">
        <v>7</v>
      </c>
      <c r="B29">
        <v>1002</v>
      </c>
      <c r="C29" s="1">
        <v>45799</v>
      </c>
      <c r="D29" s="1">
        <v>45808</v>
      </c>
    </row>
    <row r="30" spans="1:4" x14ac:dyDescent="0.35">
      <c r="A30" t="s">
        <v>21</v>
      </c>
      <c r="B30">
        <v>1001</v>
      </c>
      <c r="C30" s="1">
        <v>45880</v>
      </c>
      <c r="D30" s="1"/>
    </row>
    <row r="31" spans="1:4" x14ac:dyDescent="0.35">
      <c r="A31" t="s">
        <v>4</v>
      </c>
      <c r="B31">
        <v>1001</v>
      </c>
      <c r="C31" s="1">
        <v>45297</v>
      </c>
      <c r="D31" s="1"/>
    </row>
    <row r="32" spans="1:4" x14ac:dyDescent="0.35">
      <c r="A32" t="s">
        <v>7</v>
      </c>
      <c r="B32">
        <v>1003</v>
      </c>
      <c r="C32" s="1">
        <v>45330</v>
      </c>
      <c r="D32" s="1">
        <v>45817</v>
      </c>
    </row>
    <row r="33" spans="1:4" x14ac:dyDescent="0.35">
      <c r="A33" t="s">
        <v>18</v>
      </c>
      <c r="B33">
        <v>1004</v>
      </c>
      <c r="C33" s="1">
        <v>45336</v>
      </c>
      <c r="D33" s="1"/>
    </row>
    <row r="34" spans="1:4" x14ac:dyDescent="0.35">
      <c r="A34" t="s">
        <v>22</v>
      </c>
      <c r="B34">
        <v>1003</v>
      </c>
      <c r="C34" s="1">
        <v>45827</v>
      </c>
      <c r="D34" s="1">
        <v>45908</v>
      </c>
    </row>
    <row r="35" spans="1:4" x14ac:dyDescent="0.35">
      <c r="A35" t="s">
        <v>23</v>
      </c>
      <c r="B35">
        <v>1005</v>
      </c>
      <c r="C35" s="1">
        <v>45675</v>
      </c>
      <c r="D35" s="1"/>
    </row>
    <row r="36" spans="1:4" x14ac:dyDescent="0.35">
      <c r="A36" t="s">
        <v>20</v>
      </c>
      <c r="B36">
        <v>1005</v>
      </c>
      <c r="C36" s="1">
        <v>45261</v>
      </c>
      <c r="D36" s="1">
        <v>45559</v>
      </c>
    </row>
    <row r="37" spans="1:4" x14ac:dyDescent="0.35">
      <c r="A37" t="s">
        <v>24</v>
      </c>
      <c r="B37">
        <v>1003</v>
      </c>
      <c r="C37" s="1">
        <v>45508</v>
      </c>
      <c r="D37" s="1">
        <v>45871</v>
      </c>
    </row>
    <row r="38" spans="1:4" x14ac:dyDescent="0.35">
      <c r="A38" t="s">
        <v>25</v>
      </c>
      <c r="B38">
        <v>1001</v>
      </c>
      <c r="C38" s="1">
        <v>45622</v>
      </c>
      <c r="D38" s="1">
        <v>45719</v>
      </c>
    </row>
    <row r="39" spans="1:4" x14ac:dyDescent="0.35">
      <c r="A39" t="s">
        <v>4</v>
      </c>
      <c r="B39">
        <v>1001</v>
      </c>
      <c r="C39" s="1">
        <v>45641</v>
      </c>
      <c r="D39" s="1"/>
    </row>
    <row r="40" spans="1:4" x14ac:dyDescent="0.35">
      <c r="A40" t="s">
        <v>22</v>
      </c>
      <c r="B40">
        <v>1001</v>
      </c>
      <c r="C40" s="1">
        <v>45880</v>
      </c>
      <c r="D40" s="1">
        <v>45881</v>
      </c>
    </row>
    <row r="41" spans="1:4" x14ac:dyDescent="0.35">
      <c r="A41" t="s">
        <v>26</v>
      </c>
      <c r="B41">
        <v>1009</v>
      </c>
      <c r="C41" s="1">
        <v>45740</v>
      </c>
      <c r="D41" s="1">
        <v>45784</v>
      </c>
    </row>
    <row r="42" spans="1:4" x14ac:dyDescent="0.35">
      <c r="A42" t="s">
        <v>26</v>
      </c>
      <c r="B42">
        <v>1002</v>
      </c>
      <c r="C42" s="1">
        <v>45741</v>
      </c>
      <c r="D42" s="1"/>
    </row>
    <row r="43" spans="1:4" x14ac:dyDescent="0.35">
      <c r="A43" t="s">
        <v>9</v>
      </c>
      <c r="B43">
        <v>1010</v>
      </c>
      <c r="C43" s="1">
        <v>45899</v>
      </c>
      <c r="D43" s="1">
        <v>45925</v>
      </c>
    </row>
    <row r="44" spans="1:4" x14ac:dyDescent="0.35">
      <c r="A44" t="s">
        <v>7</v>
      </c>
      <c r="B44">
        <v>1007</v>
      </c>
      <c r="C44" s="1">
        <v>45795</v>
      </c>
      <c r="D44" s="1">
        <v>45846</v>
      </c>
    </row>
    <row r="45" spans="1:4" x14ac:dyDescent="0.35">
      <c r="A45" t="s">
        <v>7</v>
      </c>
      <c r="B45">
        <v>1010</v>
      </c>
      <c r="C45" s="1">
        <v>45808</v>
      </c>
      <c r="D45" s="1">
        <v>45932</v>
      </c>
    </row>
    <row r="46" spans="1:4" x14ac:dyDescent="0.35">
      <c r="A46" t="s">
        <v>8</v>
      </c>
      <c r="B46">
        <v>1007</v>
      </c>
      <c r="C46" s="1">
        <v>45476</v>
      </c>
      <c r="D4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E6DE3-BC57-4D19-BB9E-2C27909B8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Tabelle5</vt:lpstr>
      <vt:lpstr>C.2-Gesamt</vt:lpstr>
      <vt:lpstr>C.1</vt:lpstr>
      <vt:lpstr>Mitarbeiter</vt:lpstr>
      <vt:lpstr>Geraete</vt:lpstr>
      <vt:lpstr>Ausleihen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Reisch</dc:creator>
  <cp:lastModifiedBy>Alexander Geier</cp:lastModifiedBy>
  <dcterms:created xsi:type="dcterms:W3CDTF">2026-03-21T11:11:00Z</dcterms:created>
  <dcterms:modified xsi:type="dcterms:W3CDTF">2026-10-10T12:19:01Z</dcterms:modified>
</cp:coreProperties>
</file>